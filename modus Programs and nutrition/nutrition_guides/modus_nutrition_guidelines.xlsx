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lculator" sheetId="2" state="visible" r:id="rId4"/>
    <sheet name="Base_Principles" sheetId="3" state="visible" r:id="rId5"/>
    <sheet name="Athlete_Types" sheetId="4" state="visible" r:id="rId6"/>
    <sheet name="Age_Mods" sheetId="5" state="visible" r:id="rId7"/>
    <sheet name="Gender_Mods" sheetId="6" state="visible" r:id="rId8"/>
    <sheet name="Meal_Timing" sheetId="7" state="visible" r:id="rId9"/>
    <sheet name="Food_Lists" sheetId="8" state="visible" r:id="rId10"/>
    <sheet name="Portion_Gui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<sst xmlns="http://schemas.openxmlformats.org/spreadsheetml/2006/main" count="524" uniqueCount="432">
  <si>
    <t xml:space="preserve">MODUS NUTRITION GUIDELINES</t>
  </si>
  <si>
    <t xml:space="preserve">Philosophy: Flexible &amp; Intuitive Eating with Science-Based Foundations</t>
  </si>
  <si>
    <t xml:space="preserve">CORE PRINCIPLES</t>
  </si>
  <si>
    <t xml:space="preserve">1. Know Your Numbers</t>
  </si>
  <si>
    <t xml:space="preserve">Use calculations to understand your baseline needs</t>
  </si>
  <si>
    <t xml:space="preserve">2. Eat Intuitively</t>
  </si>
  <si>
    <t xml:space="preserve">Use hunger/fullness cues, not strict tracking</t>
  </si>
  <si>
    <t xml:space="preserve">3. Prioritize Protein</t>
  </si>
  <si>
    <t xml:space="preserve">Anchor meals around quality protein sources</t>
  </si>
  <si>
    <t xml:space="preserve">4. Fuel Performance</t>
  </si>
  <si>
    <t xml:space="preserve">Time nutrition around training for best results</t>
  </si>
  <si>
    <t xml:space="preserve">5. Stay Flexible</t>
  </si>
  <si>
    <t xml:space="preserve">No forbidden foods - focus on patterns, not perfection</t>
  </si>
  <si>
    <t xml:space="preserve">HOW TO USE THIS WORKBOOK</t>
  </si>
  <si>
    <t xml:space="preserve">Step 1</t>
  </si>
  <si>
    <t xml:space="preserve">Go to Calculator tab, enter your stats to get baseline numbers</t>
  </si>
  <si>
    <t xml:space="preserve">Step 2</t>
  </si>
  <si>
    <t xml:space="preserve">Find your Athlete Type profile for sport-specific guidance</t>
  </si>
  <si>
    <t xml:space="preserve">Step 3</t>
  </si>
  <si>
    <t xml:space="preserve">Check Age &amp; Gender tabs for any modifications</t>
  </si>
  <si>
    <t xml:space="preserve">Step 4</t>
  </si>
  <si>
    <t xml:space="preserve">Use Meal Timing for training day structure</t>
  </si>
  <si>
    <t xml:space="preserve">Step 5</t>
  </si>
  <si>
    <t xml:space="preserve">Print your personalized PDF guide</t>
  </si>
  <si>
    <t xml:space="preserve">WORKSHEETS INCLUDED</t>
  </si>
  <si>
    <t xml:space="preserve">Calculator</t>
  </si>
  <si>
    <t xml:space="preserve">BMR, TDEE, and macro calculations</t>
  </si>
  <si>
    <t xml:space="preserve">Base_Principles</t>
  </si>
  <si>
    <t xml:space="preserve">Core nutrition principles for all athletes</t>
  </si>
  <si>
    <t xml:space="preserve">Athlete_Types</t>
  </si>
  <si>
    <t xml:space="preserve">Sport-specific nutrition profiles</t>
  </si>
  <si>
    <t xml:space="preserve">Age_Mods</t>
  </si>
  <si>
    <t xml:space="preserve">Adjustments by age group</t>
  </si>
  <si>
    <t xml:space="preserve">Gender_Mods</t>
  </si>
  <si>
    <t xml:space="preserve">Male/female specific considerations</t>
  </si>
  <si>
    <t xml:space="preserve">Meal_Timing</t>
  </si>
  <si>
    <t xml:space="preserve">When to eat around training</t>
  </si>
  <si>
    <t xml:space="preserve">Food_Lists</t>
  </si>
  <si>
    <t xml:space="preserve">Recommended foods by category</t>
  </si>
  <si>
    <t xml:space="preserve">Portion_Guide</t>
  </si>
  <si>
    <t xml:space="preserve">Hand-based portion system</t>
  </si>
  <si>
    <t xml:space="preserve">NUTRITION CALCULATOR</t>
  </si>
  <si>
    <t xml:space="preserve">YOUR INFORMATION</t>
  </si>
  <si>
    <t xml:space="preserve">ACTIVITY MULTIPLIERS</t>
  </si>
  <si>
    <t xml:space="preserve">Name</t>
  </si>
  <si>
    <t xml:space="preserve">Sedentary</t>
  </si>
  <si>
    <t xml:space="preserve">Desk job, little exercise</t>
  </si>
  <si>
    <t xml:space="preserve">Age (years)</t>
  </si>
  <si>
    <t xml:space="preserve">Light</t>
  </si>
  <si>
    <t xml:space="preserve">1-3 days/week light exercise</t>
  </si>
  <si>
    <t xml:space="preserve">Gender</t>
  </si>
  <si>
    <t xml:space="preserve">Male</t>
  </si>
  <si>
    <t xml:space="preserve">Moderate</t>
  </si>
  <si>
    <t xml:space="preserve">3-5 days/week moderate exercise</t>
  </si>
  <si>
    <t xml:space="preserve">Weight (lbs)</t>
  </si>
  <si>
    <t xml:space="preserve">Active</t>
  </si>
  <si>
    <t xml:space="preserve">6-7 days/week hard exercise</t>
  </si>
  <si>
    <t xml:space="preserve">Height (inches)</t>
  </si>
  <si>
    <t xml:space="preserve">Very Active</t>
  </si>
  <si>
    <t xml:space="preserve">2x/day training or physical job</t>
  </si>
  <si>
    <t xml:space="preserve">Activity Level</t>
  </si>
  <si>
    <t xml:space="preserve">Athlete</t>
  </si>
  <si>
    <t xml:space="preserve">Professional/elite athlete</t>
  </si>
  <si>
    <t xml:space="preserve">Athlete Type</t>
  </si>
  <si>
    <t xml:space="preserve">BASE</t>
  </si>
  <si>
    <t xml:space="preserve">Primary Goal</t>
  </si>
  <si>
    <t xml:space="preserve">Performance</t>
  </si>
  <si>
    <t xml:space="preserve">CALCULATED VALUES</t>
  </si>
  <si>
    <t xml:space="preserve">Weight (kg)</t>
  </si>
  <si>
    <t xml:space="preserve">Auto-converted</t>
  </si>
  <si>
    <t xml:space="preserve">Height (cm)</t>
  </si>
  <si>
    <t xml:space="preserve">BMR (Basal Metabolic Rate)</t>
  </si>
  <si>
    <t xml:space="preserve">Mifflin-St Jeor Formula</t>
  </si>
  <si>
    <t xml:space="preserve">Activity Multiplier</t>
  </si>
  <si>
    <t xml:space="preserve">Based on activity level</t>
  </si>
  <si>
    <t xml:space="preserve">TDEE (Total Daily Energy)</t>
  </si>
  <si>
    <t xml:space="preserve">Maintenance calories</t>
  </si>
  <si>
    <t xml:space="preserve">GOAL-ADJUSTED CALORIES</t>
  </si>
  <si>
    <t xml:space="preserve">Fat Loss (deficit)</t>
  </si>
  <si>
    <t xml:space="preserve">20% deficit</t>
  </si>
  <si>
    <t xml:space="preserve">Maintenance</t>
  </si>
  <si>
    <t xml:space="preserve">Current TDEE</t>
  </si>
  <si>
    <t xml:space="preserve">Muscle Gain (surplus)</t>
  </si>
  <si>
    <t xml:space="preserve">10% surplus</t>
  </si>
  <si>
    <t xml:space="preserve">Performance (high)</t>
  </si>
  <si>
    <t xml:space="preserve">15% surplus for athletes</t>
  </si>
  <si>
    <t xml:space="preserve">MACRONUTRIENT TARGETS</t>
  </si>
  <si>
    <t xml:space="preserve">Grams</t>
  </si>
  <si>
    <t xml:space="preserve">Calories</t>
  </si>
  <si>
    <t xml:space="preserve">% of Total</t>
  </si>
  <si>
    <t xml:space="preserve">Target Calories</t>
  </si>
  <si>
    <t xml:space="preserve">Protein (g)</t>
  </si>
  <si>
    <t xml:space="preserve">Protein Range</t>
  </si>
  <si>
    <t xml:space="preserve">0.7-1.1g per lb</t>
  </si>
  <si>
    <t xml:space="preserve">Fat (g)</t>
  </si>
  <si>
    <t xml:space="preserve">25%</t>
  </si>
  <si>
    <t xml:space="preserve">Carbs (g)</t>
  </si>
  <si>
    <t xml:space="preserve">BASE NUTRITION PRINCIPLES</t>
  </si>
  <si>
    <t xml:space="preserve">PROTEIN FIRST</t>
  </si>
  <si>
    <t xml:space="preserve">Anchor every meal around a quality protein source</t>
  </si>
  <si>
    <t xml:space="preserve">• Aim for 25-40g protein per meal
• Include protein at every eating occasion
• Space protein throughout the day (not all at once)</t>
  </si>
  <si>
    <t xml:space="preserve">QUALITY CARBS</t>
  </si>
  <si>
    <t xml:space="preserve">Choose nutrient-dense carbohydrate sources</t>
  </si>
  <si>
    <t xml:space="preserve">• Prioritize whole grains, fruits, vegetables
• Time higher carbs around training
• Minimize processed/refined carbs</t>
  </si>
  <si>
    <t xml:space="preserve">HEALTHY FATS</t>
  </si>
  <si>
    <t xml:space="preserve">Include fats for hormones and satiety</t>
  </si>
  <si>
    <t xml:space="preserve">• Focus on unsaturated sources (olive oil, nuts, avocado)
• Include omega-3s (fatty fish, flax, walnuts)
• Limit saturated fats to &lt;10% of calories</t>
  </si>
  <si>
    <t xml:space="preserve">HYDRATION</t>
  </si>
  <si>
    <t xml:space="preserve">Stay consistently hydrated throughout the day</t>
  </si>
  <si>
    <t xml:space="preserve">• Baseline: 0.5-1 oz per lb bodyweight
• Add 16-24 oz per hour of exercise
• Monitor urine color (pale yellow = good)</t>
  </si>
  <si>
    <t xml:space="preserve">MEAL TIMING</t>
  </si>
  <si>
    <t xml:space="preserve">Eat consistently to support energy and recovery</t>
  </si>
  <si>
    <t xml:space="preserve">• 3-5 eating occasions per day
• Don't skip meals before training
• Post-workout nutrition within 2 hours</t>
  </si>
  <si>
    <t xml:space="preserve">FLEXIBILITY</t>
  </si>
  <si>
    <t xml:space="preserve">80/20 approach - consistency over perfection</t>
  </si>
  <si>
    <t xml:space="preserve">• 80% whole, nutrient-dense foods
• 20% flexibility for life and enjoyment
• No food is "forbidden"</t>
  </si>
  <si>
    <t xml:space="preserve">LISTEN TO YOUR BODY</t>
  </si>
  <si>
    <t xml:space="preserve">Use hunger and fullness cues</t>
  </si>
  <si>
    <t xml:space="preserve">• Eat when hungry, stop when satisfied (not stuffed)
• Rate hunger 1-10 before eating
• Eat slowly, chew thoroughly</t>
  </si>
  <si>
    <t xml:space="preserve">SUPPLEMENTS</t>
  </si>
  <si>
    <t xml:space="preserve">Food first, supplements to fill gaps only</t>
  </si>
  <si>
    <t xml:space="preserve">• Protein powder if struggling to meet targets
• Creatine for strength athletes
• Vitamin D if limited sun exposure
• Consult professional before adding</t>
  </si>
  <si>
    <t xml:space="preserve">NUTRITION BY ATHLETE TYPE</t>
  </si>
  <si>
    <t xml:space="preserve">Protein
(g/lb)</t>
  </si>
  <si>
    <t xml:space="preserve">Carb Focus</t>
  </si>
  <si>
    <t xml:space="preserve">Fat %</t>
  </si>
  <si>
    <t xml:space="preserve">Hydration+</t>
  </si>
  <si>
    <t xml:space="preserve">Key Nutrients</t>
  </si>
  <si>
    <t xml:space="preserve">Timing Notes</t>
  </si>
  <si>
    <t xml:space="preserve">0.8-1.0</t>
  </si>
  <si>
    <t xml:space="preserve">25-30%</t>
  </si>
  <si>
    <t xml:space="preserve">Standard</t>
  </si>
  <si>
    <t xml:space="preserve">Balanced micronutrients</t>
  </si>
  <si>
    <t xml:space="preserve">Even distribution</t>
  </si>
  <si>
    <t xml:space="preserve">BASEBALL</t>
  </si>
  <si>
    <t xml:space="preserve">0.9-1.1</t>
  </si>
  <si>
    <t xml:space="preserve">Moderate-High</t>
  </si>
  <si>
    <t xml:space="preserve">+20%</t>
  </si>
  <si>
    <t xml:space="preserve">Vitamin D, Iron, B12</t>
  </si>
  <si>
    <t xml:space="preserve">Pre-game carb load</t>
  </si>
  <si>
    <t xml:space="preserve">TACTICAL</t>
  </si>
  <si>
    <t xml:space="preserve">1.0-1.2</t>
  </si>
  <si>
    <t xml:space="preserve">High</t>
  </si>
  <si>
    <t xml:space="preserve">+30%</t>
  </si>
  <si>
    <t xml:space="preserve">Iron, Magnesium, Zinc</t>
  </si>
  <si>
    <t xml:space="preserve">Sustained energy focus</t>
  </si>
  <si>
    <t xml:space="preserve">GOLF</t>
  </si>
  <si>
    <t xml:space="preserve">0.7-0.9</t>
  </si>
  <si>
    <t xml:space="preserve">30%</t>
  </si>
  <si>
    <t xml:space="preserve">+10%</t>
  </si>
  <si>
    <t xml:space="preserve">Omega-3s, Antioxidants</t>
  </si>
  <si>
    <t xml:space="preserve">Steady blood sugar</t>
  </si>
  <si>
    <t xml:space="preserve">PICKLEBALL</t>
  </si>
  <si>
    <t xml:space="preserve">+15%</t>
  </si>
  <si>
    <t xml:space="preserve">Electrolytes, Vitamin C</t>
  </si>
  <si>
    <t xml:space="preserve">Quick digesting pre-play</t>
  </si>
  <si>
    <t xml:space="preserve">MASTERS</t>
  </si>
  <si>
    <t xml:space="preserve">Critical</t>
  </si>
  <si>
    <t xml:space="preserve">Calcium, D, B12, Omega-3</t>
  </si>
  <si>
    <t xml:space="preserve">Higher protein per meal</t>
  </si>
  <si>
    <t xml:space="preserve">RUNNING</t>
  </si>
  <si>
    <t xml:space="preserve">20-25%</t>
  </si>
  <si>
    <t xml:space="preserve">+40%</t>
  </si>
  <si>
    <t xml:space="preserve">Iron, B vitamins, Calcium</t>
  </si>
  <si>
    <t xml:space="preserve">Carb periodization</t>
  </si>
  <si>
    <t xml:space="preserve">CROSSFIT</t>
  </si>
  <si>
    <t xml:space="preserve">+25%</t>
  </si>
  <si>
    <t xml:space="preserve">Creatine, Magnesium</t>
  </si>
  <si>
    <t xml:space="preserve">Post-WOD priority</t>
  </si>
  <si>
    <t xml:space="preserve">SWIMMING</t>
  </si>
  <si>
    <t xml:space="preserve">+50%</t>
  </si>
  <si>
    <t xml:space="preserve">Iron, Zinc, Vitamin D</t>
  </si>
  <si>
    <t xml:space="preserve">Pre-swim timing critical</t>
  </si>
  <si>
    <t xml:space="preserve">BASKETBALL</t>
  </si>
  <si>
    <t xml:space="preserve">Electrolytes, Iron</t>
  </si>
  <si>
    <t xml:space="preserve">Game day fueling</t>
  </si>
  <si>
    <t xml:space="preserve">SOCCER</t>
  </si>
  <si>
    <t xml:space="preserve">0.9-1.0</t>
  </si>
  <si>
    <t xml:space="preserve">+35%</t>
  </si>
  <si>
    <t xml:space="preserve">Iron, B12, Electrolytes</t>
  </si>
  <si>
    <t xml:space="preserve">90-min fueling strategy</t>
  </si>
  <si>
    <t xml:space="preserve">TENNIS</t>
  </si>
  <si>
    <t xml:space="preserve">Electrolytes, Magnesium</t>
  </si>
  <si>
    <t xml:space="preserve">Between-set nutrition</t>
  </si>
  <si>
    <t xml:space="preserve">REHAB</t>
  </si>
  <si>
    <t xml:space="preserve">Vitamin C, Zinc, Collagen</t>
  </si>
  <si>
    <t xml:space="preserve">Anti-inflammatory focus</t>
  </si>
  <si>
    <t xml:space="preserve">PRENATAL</t>
  </si>
  <si>
    <t xml:space="preserve">1.0-1.1</t>
  </si>
  <si>
    <t xml:space="preserve">Folate, Iron, DHA, Calcium</t>
  </si>
  <si>
    <t xml:space="preserve">Small frequent meals</t>
  </si>
  <si>
    <t xml:space="preserve">POSTPARTUM</t>
  </si>
  <si>
    <t xml:space="preserve">1.1-1.2</t>
  </si>
  <si>
    <t xml:space="preserve">Iron, D, B12, Omega-3</t>
  </si>
  <si>
    <t xml:space="preserve">Support recovery + nursing</t>
  </si>
  <si>
    <t xml:space="preserve">YOUTH12</t>
  </si>
  <si>
    <t xml:space="preserve">Calcium, Iron, Zinc</t>
  </si>
  <si>
    <t xml:space="preserve">Growth support</t>
  </si>
  <si>
    <t xml:space="preserve">YOUTH16</t>
  </si>
  <si>
    <t xml:space="preserve">Calcium, Iron, Protein</t>
  </si>
  <si>
    <t xml:space="preserve">Performance + growth</t>
  </si>
  <si>
    <t xml:space="preserve">GOALS-FatLoss</t>
  </si>
  <si>
    <t xml:space="preserve">Low-Mod</t>
  </si>
  <si>
    <t xml:space="preserve">Fiber, Protein</t>
  </si>
  <si>
    <t xml:space="preserve">Protein every meal</t>
  </si>
  <si>
    <t xml:space="preserve">GOALS-Muscle</t>
  </si>
  <si>
    <t xml:space="preserve">Leucine, Creatine</t>
  </si>
  <si>
    <t xml:space="preserve">Post-workout window</t>
  </si>
  <si>
    <t xml:space="preserve">EXPRESS</t>
  </si>
  <si>
    <t xml:space="preserve">Balanced</t>
  </si>
  <si>
    <t xml:space="preserve">Meal prep essential</t>
  </si>
  <si>
    <t xml:space="preserve">AGE-SPECIFIC NUTRITION MODIFICATIONS</t>
  </si>
  <si>
    <t xml:space="preserve">Age Group</t>
  </si>
  <si>
    <t xml:space="preserve">Calorie Adj</t>
  </si>
  <si>
    <t xml:space="preserve">Protein Adj</t>
  </si>
  <si>
    <t xml:space="preserve">Key Considerations</t>
  </si>
  <si>
    <t xml:space="preserve">Priority Nutrients</t>
  </si>
  <si>
    <t xml:space="preserve">Youth (12-16)</t>
  </si>
  <si>
    <t xml:space="preserve">+10-15%</t>
  </si>
  <si>
    <t xml:space="preserve">0.7-0.9 g/lb</t>
  </si>
  <si>
    <t xml:space="preserve">• Support growth and development
• Avoid restriction
• Focus on food quality not quantity
• Regular eating schedule</t>
  </si>
  <si>
    <t xml:space="preserve">Calcium, Iron, Zinc, Vitamin D</t>
  </si>
  <si>
    <t xml:space="preserve">Teen (16-18)</t>
  </si>
  <si>
    <t xml:space="preserve">+5-10%</t>
  </si>
  <si>
    <t xml:space="preserve">0.8-1.0 g/lb</t>
  </si>
  <si>
    <t xml:space="preserve">• Peak growth period
• High energy demands
• May need 3000-4000+ cals/day
• Don't skip meals</t>
  </si>
  <si>
    <t xml:space="preserve">Calcium, Iron, Protein, B vitamins</t>
  </si>
  <si>
    <t xml:space="preserve">Young Adult (18-30)</t>
  </si>
  <si>
    <t xml:space="preserve">Baseline</t>
  </si>
  <si>
    <t xml:space="preserve">• Peak metabolism
• Recovery is fast
• Can handle higher volume
• Establish good habits</t>
  </si>
  <si>
    <t xml:space="preserve">Adult (30-40)</t>
  </si>
  <si>
    <t xml:space="preserve">0.9-1.0 g/lb</t>
  </si>
  <si>
    <t xml:space="preserve">• Metabolism starting to slow
• Recovery takes longer
• Quality over quantity
• Sleep becomes critical</t>
  </si>
  <si>
    <t xml:space="preserve">Omega-3s, Vitamin D, Magnesium</t>
  </si>
  <si>
    <t xml:space="preserve">Masters (40-50)</t>
  </si>
  <si>
    <t xml:space="preserve">-5%</t>
  </si>
  <si>
    <t xml:space="preserve">1.0-1.1 g/lb</t>
  </si>
  <si>
    <t xml:space="preserve">• Increased protein for muscle retention
• More recovery time needed
• Anti-inflammatory foods
• Hormone changes begin</t>
  </si>
  <si>
    <t xml:space="preserve">Protein, Omega-3s, D, Calcium</t>
  </si>
  <si>
    <t xml:space="preserve">Masters (50-60)</t>
  </si>
  <si>
    <t xml:space="preserve">-10%</t>
  </si>
  <si>
    <t xml:space="preserve">1.0-1.2 g/lb</t>
  </si>
  <si>
    <t xml:space="preserve">• Higher protein per meal (30-40g)
• Focus on muscle preservation
• Bone health priority
• May need B12 supplement</t>
  </si>
  <si>
    <t xml:space="preserve">Protein, B12, D, Calcium, Omega-3</t>
  </si>
  <si>
    <t xml:space="preserve">Masters (60-70)</t>
  </si>
  <si>
    <t xml:space="preserve">-15%</t>
  </si>
  <si>
    <t xml:space="preserve">1.1-1.2 g/lb</t>
  </si>
  <si>
    <t xml:space="preserve">• Distribute protein evenly across meals
• Appetite may decrease
• Nutrient density critical
• Hydration often overlooked</t>
  </si>
  <si>
    <t xml:space="preserve">Protein, B12, D, Calcium, Fiber</t>
  </si>
  <si>
    <t xml:space="preserve">Masters (70+)</t>
  </si>
  <si>
    <t xml:space="preserve">-15-20%</t>
  </si>
  <si>
    <t xml:space="preserve">1.2+ g/lb</t>
  </si>
  <si>
    <t xml:space="preserve">• Prioritize protein at every meal
• Smaller, frequent meals
• May need protein supplements
• Texture modifications if needed</t>
  </si>
  <si>
    <t xml:space="preserve">Protein, B12, D, Calcium, Zinc</t>
  </si>
  <si>
    <t xml:space="preserve">GENDER-SPECIFIC CONSIDERATIONS</t>
  </si>
  <si>
    <t xml:space="preserve">MALE ATHLETES</t>
  </si>
  <si>
    <t xml:space="preserve">Calorie Needs</t>
  </si>
  <si>
    <t xml:space="preserve">Generally 10-15% higher than female due to muscle mass and body size</t>
  </si>
  <si>
    <t xml:space="preserve">Protein</t>
  </si>
  <si>
    <t xml:space="preserve">0.8-1.2 g/lb depending on goals; distribute across 4-5 meals</t>
  </si>
  <si>
    <t xml:space="preserve">Carbohydrates</t>
  </si>
  <si>
    <t xml:space="preserve">Can typically handle higher carb loads; time around training</t>
  </si>
  <si>
    <t xml:space="preserve">Fat</t>
  </si>
  <si>
    <t xml:space="preserve">20-30% of calories; essential for testosterone production</t>
  </si>
  <si>
    <t xml:space="preserve">Hydration</t>
  </si>
  <si>
    <t xml:space="preserve">Higher fluid needs due to larger body size and sweat rate</t>
  </si>
  <si>
    <t xml:space="preserve">Zinc (testosterone), Magnesium (recovery), Omega-3s (inflammation)</t>
  </si>
  <si>
    <t xml:space="preserve">Common Gaps</t>
  </si>
  <si>
    <t xml:space="preserve">Often under-eat vegetables; may over-rely on protein supplements</t>
  </si>
  <si>
    <t xml:space="preserve">Timing</t>
  </si>
  <si>
    <t xml:space="preserve">Can tolerate larger meals; less GI issues with pre-workout eating</t>
  </si>
  <si>
    <t xml:space="preserve">FEMALE ATHLETES</t>
  </si>
  <si>
    <t xml:space="preserve">Often under-fuel; RED-S risk; don't restrict below BMR</t>
  </si>
  <si>
    <t xml:space="preserve">0.8-1.1 g/lb; may need slightly less than males per lb</t>
  </si>
  <si>
    <t xml:space="preserve">Critical for menstrual health; don't go too low-carb</t>
  </si>
  <si>
    <t xml:space="preserve">25-35% of calories; essential for hormone production</t>
  </si>
  <si>
    <t xml:space="preserve">Iron</t>
  </si>
  <si>
    <t xml:space="preserve">Critical due to menstruation; check ferritin annually; pair with vitamin C</t>
  </si>
  <si>
    <t xml:space="preserve">Calcium</t>
  </si>
  <si>
    <t xml:space="preserve">Bone health priority; 1000-1300mg/day; especially important for amenorrhea</t>
  </si>
  <si>
    <t xml:space="preserve">Menstrual Cycle</t>
  </si>
  <si>
    <t xml:space="preserve">Follicular: higher carb tolerance | Luteal: slight calorie increase</t>
  </si>
  <si>
    <t xml:space="preserve">Under-eating, low iron, inadequate calcium, avoiding fats</t>
  </si>
  <si>
    <t xml:space="preserve">Iron, Calcium, Vitamin D, Folate, B12, Omega-3s</t>
  </si>
  <si>
    <t xml:space="preserve">PRENATAL &amp; POSTPARTUM</t>
  </si>
  <si>
    <t xml:space="preserve">1st Trimester</t>
  </si>
  <si>
    <t xml:space="preserve">+0 calories; focus on food quality; folate critical; manage nausea</t>
  </si>
  <si>
    <t xml:space="preserve">2nd Trimester</t>
  </si>
  <si>
    <t xml:space="preserve">+340 calories/day; protein needs increase; iron absorption increases</t>
  </si>
  <si>
    <t xml:space="preserve">3rd Trimester</t>
  </si>
  <si>
    <t xml:space="preserve">+450 calories/day; calcium priority; smaller frequent meals</t>
  </si>
  <si>
    <t xml:space="preserve">Postpartum</t>
  </si>
  <si>
    <t xml:space="preserve">+330-400 calories if nursing; hydration critical; protein for recovery</t>
  </si>
  <si>
    <t xml:space="preserve">Folate (neural tube), Iron, DHA (brain), Calcium, Vitamin D, Choline</t>
  </si>
  <si>
    <t xml:space="preserve">Avoid</t>
  </si>
  <si>
    <t xml:space="preserve">Raw fish, high-mercury fish, deli meats, unpasteurized dairy, excess caffeine</t>
  </si>
  <si>
    <t xml:space="preserve">Exercise Fueling</t>
  </si>
  <si>
    <t xml:space="preserve">Don't exercise fasted; stay well-hydrated; listen to body</t>
  </si>
  <si>
    <t xml:space="preserve">MEAL TIMING AROUND TRAINING</t>
  </si>
  <si>
    <t xml:space="preserve">Goal</t>
  </si>
  <si>
    <t xml:space="preserve">What to Eat</t>
  </si>
  <si>
    <t xml:space="preserve">Examples</t>
  </si>
  <si>
    <t xml:space="preserve">3-4 Hours Pre</t>
  </si>
  <si>
    <t xml:space="preserve">Full meal for sustained energy</t>
  </si>
  <si>
    <t xml:space="preserve">Balanced meal: protein + complex carbs + fat</t>
  </si>
  <si>
    <t xml:space="preserve">Chicken, rice, vegetables
Salmon, sweet potato, salad</t>
  </si>
  <si>
    <t xml:space="preserve">1-2 Hours Pre</t>
  </si>
  <si>
    <t xml:space="preserve">Top off energy stores</t>
  </si>
  <si>
    <t xml:space="preserve">Moderate carbs + light protein, low fat/fiber</t>
  </si>
  <si>
    <t xml:space="preserve">Oatmeal with banana
Turkey sandwich
Greek yogurt + fruit</t>
  </si>
  <si>
    <t xml:space="preserve">30-60 Min Pre</t>
  </si>
  <si>
    <t xml:space="preserve">Quick energy if needed</t>
  </si>
  <si>
    <t xml:space="preserve">Simple carbs, minimal protein/fat</t>
  </si>
  <si>
    <t xml:space="preserve">Banana
Rice cakes
Sports drink
Applesauce</t>
  </si>
  <si>
    <t xml:space="preserve">During (&gt;60 min)</t>
  </si>
  <si>
    <t xml:space="preserve">Sustain blood sugar</t>
  </si>
  <si>
    <t xml:space="preserve">30-60g carbs per hour for long sessions</t>
  </si>
  <si>
    <t xml:space="preserve">Sports drink
Gels/chews
Banana
Dates</t>
  </si>
  <si>
    <t xml:space="preserve">0-30 Min Post</t>
  </si>
  <si>
    <t xml:space="preserve">Start recovery window</t>
  </si>
  <si>
    <t xml:space="preserve">Quick protein + carbs (especially if training again soon)</t>
  </si>
  <si>
    <t xml:space="preserve">Chocolate milk
Protein shake + banana
Greek yogurt</t>
  </si>
  <si>
    <t xml:space="preserve">1-2 Hours Post</t>
  </si>
  <si>
    <t xml:space="preserve">Complete recovery meal</t>
  </si>
  <si>
    <t xml:space="preserve">Balanced meal with protein emphasis</t>
  </si>
  <si>
    <t xml:space="preserve">Steak, potato, vegetables
Salmon, quinoa, broccoli</t>
  </si>
  <si>
    <t xml:space="preserve">Rest Day</t>
  </si>
  <si>
    <t xml:space="preserve">Maintain, don't overeat</t>
  </si>
  <si>
    <t xml:space="preserve">Slightly lower carbs, maintain protein</t>
  </si>
  <si>
    <t xml:space="preserve">Focus on protein + vegetables
Healthy fats for satiety</t>
  </si>
  <si>
    <t xml:space="preserve">RECOMMENDED FOODS BY CATEGORY</t>
  </si>
  <si>
    <t xml:space="preserve">LEAN PROTEINS</t>
  </si>
  <si>
    <t xml:space="preserve">COMPLEX CARBS</t>
  </si>
  <si>
    <t xml:space="preserve">FRUITS</t>
  </si>
  <si>
    <t xml:space="preserve">VEGETABLES</t>
  </si>
  <si>
    <t xml:space="preserve">DAIRY/ALTERNATIVES</t>
  </si>
  <si>
    <t xml:space="preserve">Chicken breast</t>
  </si>
  <si>
    <t xml:space="preserve">Oatmeal</t>
  </si>
  <si>
    <t xml:space="preserve">Bananas</t>
  </si>
  <si>
    <t xml:space="preserve">Broccoli</t>
  </si>
  <si>
    <t xml:space="preserve">Olive oil</t>
  </si>
  <si>
    <t xml:space="preserve">Greek yogurt</t>
  </si>
  <si>
    <t xml:space="preserve">Turkey breast</t>
  </si>
  <si>
    <t xml:space="preserve">Brown rice</t>
  </si>
  <si>
    <t xml:space="preserve">Berries</t>
  </si>
  <si>
    <t xml:space="preserve">Spinach</t>
  </si>
  <si>
    <t xml:space="preserve">Avocado</t>
  </si>
  <si>
    <t xml:space="preserve">Milk</t>
  </si>
  <si>
    <t xml:space="preserve">Lean beef (93%+)</t>
  </si>
  <si>
    <t xml:space="preserve">Quinoa</t>
  </si>
  <si>
    <t xml:space="preserve">Apples</t>
  </si>
  <si>
    <t xml:space="preserve">Kale</t>
  </si>
  <si>
    <t xml:space="preserve">Nuts (almonds, walnuts)</t>
  </si>
  <si>
    <t xml:space="preserve">Cheese</t>
  </si>
  <si>
    <t xml:space="preserve">Pork tenderloin</t>
  </si>
  <si>
    <t xml:space="preserve">Sweet potato</t>
  </si>
  <si>
    <t xml:space="preserve">Oranges</t>
  </si>
  <si>
    <t xml:space="preserve">Peppers</t>
  </si>
  <si>
    <t xml:space="preserve">Nut butters</t>
  </si>
  <si>
    <t xml:space="preserve">Cottage cheese</t>
  </si>
  <si>
    <t xml:space="preserve">Fish (salmon, tuna, cod)</t>
  </si>
  <si>
    <t xml:space="preserve">White potato</t>
  </si>
  <si>
    <t xml:space="preserve">Grapes</t>
  </si>
  <si>
    <t xml:space="preserve">Carrots</t>
  </si>
  <si>
    <t xml:space="preserve">Seeds (chia, flax, pumpkin)</t>
  </si>
  <si>
    <t xml:space="preserve">Almond milk</t>
  </si>
  <si>
    <t xml:space="preserve">Shrimp</t>
  </si>
  <si>
    <t xml:space="preserve">Whole grain bread</t>
  </si>
  <si>
    <t xml:space="preserve">Melon</t>
  </si>
  <si>
    <t xml:space="preserve">Tomatoes</t>
  </si>
  <si>
    <t xml:space="preserve">Fatty fish</t>
  </si>
  <si>
    <t xml:space="preserve">Soy milk</t>
  </si>
  <si>
    <t xml:space="preserve">Eggs/egg whites</t>
  </si>
  <si>
    <t xml:space="preserve">Whole grain pasta</t>
  </si>
  <si>
    <t xml:space="preserve">Mango</t>
  </si>
  <si>
    <t xml:space="preserve">Zucchini</t>
  </si>
  <si>
    <t xml:space="preserve">Coconut oil (limited)</t>
  </si>
  <si>
    <t xml:space="preserve">Oat milk</t>
  </si>
  <si>
    <t xml:space="preserve">Beans/lentils</t>
  </si>
  <si>
    <t xml:space="preserve">Pineapple</t>
  </si>
  <si>
    <t xml:space="preserve">Asparagus</t>
  </si>
  <si>
    <t xml:space="preserve">Barley</t>
  </si>
  <si>
    <t xml:space="preserve">Peaches</t>
  </si>
  <si>
    <t xml:space="preserve">Green beans</t>
  </si>
  <si>
    <t xml:space="preserve">Tofu</t>
  </si>
  <si>
    <t xml:space="preserve">Farro</t>
  </si>
  <si>
    <t xml:space="preserve">Pears</t>
  </si>
  <si>
    <t xml:space="preserve">Brussels sprouts</t>
  </si>
  <si>
    <t xml:space="preserve">Tempeh</t>
  </si>
  <si>
    <t xml:space="preserve">Corn</t>
  </si>
  <si>
    <t xml:space="preserve">Dried fruit (dates, raisins)</t>
  </si>
  <si>
    <t xml:space="preserve">Cauliflower</t>
  </si>
  <si>
    <t xml:space="preserve">Protein powder</t>
  </si>
  <si>
    <t xml:space="preserve">Peas</t>
  </si>
  <si>
    <t xml:space="preserve">Mushrooms</t>
  </si>
  <si>
    <t xml:space="preserve">HAND-BASED PORTION GUIDE</t>
  </si>
  <si>
    <t xml:space="preserve">No measuring required - use your hand as a guide</t>
  </si>
  <si>
    <t xml:space="preserve">Hand Measure</t>
  </si>
  <si>
    <t xml:space="preserve">Food Type</t>
  </si>
  <si>
    <t xml:space="preserve">Approximate Amount</t>
  </si>
  <si>
    <t xml:space="preserve">PALM</t>
  </si>
  <si>
    <t xml:space="preserve">3-4 oz / 20-30g protein</t>
  </si>
  <si>
    <t xml:space="preserve">Chicken, fish, beef, tofu</t>
  </si>
  <si>
    <t xml:space="preserve">FIST</t>
  </si>
  <si>
    <t xml:space="preserve">Vegetables</t>
  </si>
  <si>
    <t xml:space="preserve">1 cup</t>
  </si>
  <si>
    <t xml:space="preserve">Broccoli, salad, peppers</t>
  </si>
  <si>
    <t xml:space="preserve">CUPPED HAND</t>
  </si>
  <si>
    <t xml:space="preserve">Carbs</t>
  </si>
  <si>
    <t xml:space="preserve">1/2-3/4 cup / 20-30g carbs</t>
  </si>
  <si>
    <t xml:space="preserve">Rice, pasta, fruit</t>
  </si>
  <si>
    <t xml:space="preserve">THUMB</t>
  </si>
  <si>
    <t xml:space="preserve">Fats</t>
  </si>
  <si>
    <t xml:space="preserve">1 tbsp</t>
  </si>
  <si>
    <t xml:space="preserve">Oils, nut butter, cheese</t>
  </si>
  <si>
    <t xml:space="preserve">MEAL TEMPLATES BY GOAL</t>
  </si>
  <si>
    <t xml:space="preserve">MALE - Maintenance</t>
  </si>
  <si>
    <t xml:space="preserve">2 palms protein</t>
  </si>
  <si>
    <t xml:space="preserve">2 fists vegetables</t>
  </si>
  <si>
    <t xml:space="preserve">2 cupped hands carbs</t>
  </si>
  <si>
    <t xml:space="preserve">2 thumbs fat</t>
  </si>
  <si>
    <t xml:space="preserve">MALE - Fat Loss</t>
  </si>
  <si>
    <t xml:space="preserve">1 cupped hand carbs</t>
  </si>
  <si>
    <t xml:space="preserve">1 thumb fat</t>
  </si>
  <si>
    <t xml:space="preserve">MALE - Muscle Gain</t>
  </si>
  <si>
    <t xml:space="preserve">3 cupped hands carbs</t>
  </si>
  <si>
    <t xml:space="preserve">FEMALE - Maintenance</t>
  </si>
  <si>
    <t xml:space="preserve">1 palm protein</t>
  </si>
  <si>
    <t xml:space="preserve">FEMALE - Fat Loss</t>
  </si>
  <si>
    <t xml:space="preserve">0.5 cupped hand carbs</t>
  </si>
  <si>
    <t xml:space="preserve">FEMALE - Muscle Gain</t>
  </si>
  <si>
    <t xml:space="preserve">1.5 palms protein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</si>
</sst>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4F4F"/>
      <name val="Cambria"/>
      <family val="0"/>
      <charset val="1"/>
    </font>
    <font>
      <b val="true"/>
      <sz val="12"/>
      <color rgb="FF0891B2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0D4F4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0D4F4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4F4F"/>
        <bgColor rgb="FF333333"/>
      </patternFill>
    </fill>
    <fill>
      <patternFill patternType="solid">
        <fgColor rgb="FFE0F2F1"/>
        <bgColor rgb="FFCCFFFF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9999FF"/>
      <rgbColor rgb="FF993366"/>
      <rgbColor rgb="FFFFF3E0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F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2</v>
      </c>
    </row>
    <row r="7" customFormat="false" ht="15" hidden="false" customHeight="false" outlineLevel="0" collapsed="false">
      <c r="A7" s="4" t="s">
        <v>3</v>
      </c>
      <c r="B7" s="0" t="s">
        <v>4</v>
      </c>
    </row>
    <row r="8" customFormat="false" ht="15" hidden="false" customHeight="false" outlineLevel="0" collapsed="false">
      <c r="A8" s="4" t="s">
        <v>5</v>
      </c>
      <c r="B8" s="0" t="s">
        <v>6</v>
      </c>
    </row>
    <row r="9" customFormat="false" ht="15" hidden="false" customHeight="false" outlineLevel="0" collapsed="false">
      <c r="A9" s="4" t="s">
        <v>7</v>
      </c>
      <c r="B9" s="0" t="s">
        <v>8</v>
      </c>
    </row>
    <row r="10" customFormat="false" ht="15" hidden="false" customHeight="false" outlineLevel="0" collapsed="false">
      <c r="A10" s="4" t="s">
        <v>9</v>
      </c>
      <c r="B10" s="0" t="s">
        <v>10</v>
      </c>
    </row>
    <row r="11" customFormat="false" ht="15" hidden="false" customHeight="false" outlineLevel="0" collapsed="false">
      <c r="A11" s="4" t="s">
        <v>11</v>
      </c>
      <c r="B11" s="0" t="s">
        <v>12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13</v>
      </c>
    </row>
    <row r="14" customFormat="false" ht="15" hidden="false" customHeight="false" outlineLevel="0" collapsed="false">
      <c r="A14" s="4" t="s">
        <v>14</v>
      </c>
      <c r="B14" s="0" t="s">
        <v>15</v>
      </c>
    </row>
    <row r="15" customFormat="false" ht="15" hidden="false" customHeight="false" outlineLevel="0" collapsed="false">
      <c r="A15" s="4" t="s">
        <v>16</v>
      </c>
      <c r="B15" s="0" t="s">
        <v>17</v>
      </c>
    </row>
    <row r="16" customFormat="false" ht="15" hidden="false" customHeight="false" outlineLevel="0" collapsed="false">
      <c r="A16" s="4" t="s">
        <v>18</v>
      </c>
      <c r="B16" s="0" t="s">
        <v>19</v>
      </c>
    </row>
    <row r="17" customFormat="false" ht="15" hidden="false" customHeight="false" outlineLevel="0" collapsed="false">
      <c r="A17" s="4" t="s">
        <v>20</v>
      </c>
      <c r="B17" s="0" t="s">
        <v>21</v>
      </c>
    </row>
    <row r="18" customFormat="false" ht="15" hidden="false" customHeight="false" outlineLevel="0" collapsed="false">
      <c r="A18" s="4" t="s">
        <v>22</v>
      </c>
      <c r="B18" s="0" t="s">
        <v>23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24</v>
      </c>
    </row>
    <row r="21" customFormat="false" ht="15" hidden="false" customHeight="false" outlineLevel="0" collapsed="false">
      <c r="A21" s="4" t="s">
        <v>25</v>
      </c>
      <c r="B21" s="0" t="s">
        <v>26</v>
      </c>
    </row>
    <row r="22" customFormat="false" ht="15" hidden="false" customHeight="false" outlineLevel="0" collapsed="false">
      <c r="A22" s="4" t="s">
        <v>27</v>
      </c>
      <c r="B22" s="0" t="s">
        <v>28</v>
      </c>
    </row>
    <row r="23" customFormat="false" ht="15" hidden="false" customHeight="false" outlineLevel="0" collapsed="false">
      <c r="A23" s="4" t="s">
        <v>29</v>
      </c>
      <c r="B23" s="0" t="s">
        <v>30</v>
      </c>
    </row>
    <row r="24" customFormat="false" ht="15" hidden="false" customHeight="false" outlineLevel="0" collapsed="false">
      <c r="A24" s="4" t="s">
        <v>31</v>
      </c>
      <c r="B24" s="0" t="s">
        <v>32</v>
      </c>
    </row>
    <row r="25" customFormat="false" ht="15" hidden="false" customHeight="false" outlineLevel="0" collapsed="false">
      <c r="A25" s="4" t="s">
        <v>33</v>
      </c>
      <c r="B25" s="0" t="s">
        <v>34</v>
      </c>
    </row>
    <row r="26" customFormat="false" ht="15" hidden="false" customHeight="false" outlineLevel="0" collapsed="false">
      <c r="A26" s="4" t="s">
        <v>35</v>
      </c>
      <c r="B26" s="0" t="s">
        <v>36</v>
      </c>
    </row>
    <row r="27" customFormat="false" ht="15" hidden="false" customHeight="false" outlineLevel="0" collapsed="false">
      <c r="A27" s="4" t="s">
        <v>37</v>
      </c>
      <c r="B27" s="0" t="s">
        <v>38</v>
      </c>
    </row>
    <row r="28" customFormat="false" ht="15" hidden="false" customHeight="false" outlineLevel="0" collapsed="false">
      <c r="A28" s="4" t="s">
        <v>39</v>
      </c>
      <c r="B28" s="0" t="s">
        <v>40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5" t="s">
        <v>41</v>
      </c>
      <c r="B1" s="5"/>
      <c r="C1" s="5"/>
      <c r="D1" s="5"/>
      <c r="E1" s="5"/>
    </row>
    <row r="3" customFormat="false" ht="15" hidden="false" customHeight="false" outlineLevel="0" collapsed="false">
      <c r="A3" s="6" t="s">
        <v>42</v>
      </c>
      <c r="B3" s="6"/>
      <c r="D3" s="6" t="s">
        <v>43</v>
      </c>
      <c r="E3" s="6"/>
    </row>
    <row r="4" customFormat="false" ht="15" hidden="false" customHeight="false" outlineLevel="0" collapsed="false">
      <c r="A4" s="7" t="s">
        <v>44</v>
      </c>
      <c r="B4" s="8"/>
      <c r="D4" s="7" t="s">
        <v>45</v>
      </c>
      <c r="E4" s="7" t="n">
        <v>1.2</v>
      </c>
      <c r="F4" s="7" t="s">
        <v>46</v>
      </c>
    </row>
    <row r="5" customFormat="false" ht="15" hidden="false" customHeight="false" outlineLevel="0" collapsed="false">
      <c r="A5" s="7" t="s">
        <v>47</v>
      </c>
      <c r="B5" s="8" t="n">
        <v>30</v>
      </c>
      <c r="D5" s="7" t="s">
        <v>48</v>
      </c>
      <c r="E5" s="7" t="n">
        <v>1.375</v>
      </c>
      <c r="F5" s="7" t="s">
        <v>49</v>
      </c>
    </row>
    <row r="6" customFormat="false" ht="15" hidden="false" customHeight="false" outlineLevel="0" collapsed="false">
      <c r="A6" s="7" t="s">
        <v>50</v>
      </c>
      <c r="B6" s="8" t="s">
        <v>51</v>
      </c>
      <c r="D6" s="7" t="s">
        <v>52</v>
      </c>
      <c r="E6" s="7" t="n">
        <v>1.55</v>
      </c>
      <c r="F6" s="7" t="s">
        <v>53</v>
      </c>
    </row>
    <row r="7" customFormat="false" ht="15" hidden="false" customHeight="false" outlineLevel="0" collapsed="false">
      <c r="A7" s="7" t="s">
        <v>54</v>
      </c>
      <c r="B7" s="8" t="n">
        <v>180</v>
      </c>
      <c r="D7" s="7" t="s">
        <v>55</v>
      </c>
      <c r="E7" s="7" t="n">
        <v>1.725</v>
      </c>
      <c r="F7" s="7" t="s">
        <v>56</v>
      </c>
    </row>
    <row r="8" customFormat="false" ht="15" hidden="false" customHeight="false" outlineLevel="0" collapsed="false">
      <c r="A8" s="7" t="s">
        <v>57</v>
      </c>
      <c r="B8" s="8" t="n">
        <v>70</v>
      </c>
      <c r="D8" s="7" t="s">
        <v>58</v>
      </c>
      <c r="E8" s="7" t="n">
        <v>1.9</v>
      </c>
      <c r="F8" s="7" t="s">
        <v>59</v>
      </c>
    </row>
    <row r="9" customFormat="false" ht="15" hidden="false" customHeight="false" outlineLevel="0" collapsed="false">
      <c r="A9" s="7" t="s">
        <v>60</v>
      </c>
      <c r="B9" s="8" t="s">
        <v>52</v>
      </c>
      <c r="D9" s="7" t="s">
        <v>61</v>
      </c>
      <c r="E9" s="7" t="n">
        <v>2</v>
      </c>
      <c r="F9" s="7" t="s">
        <v>62</v>
      </c>
    </row>
    <row r="10" customFormat="false" ht="15" hidden="false" customHeight="false" outlineLevel="0" collapsed="false">
      <c r="A10" s="7" t="s">
        <v>63</v>
      </c>
      <c r="B10" s="8" t="s">
        <v>64</v>
      </c>
    </row>
    <row r="11" customFormat="false" ht="15" hidden="false" customHeight="false" outlineLevel="0" collapsed="false">
      <c r="A11" s="7" t="s">
        <v>65</v>
      </c>
      <c r="B11" s="8" t="s">
        <v>66</v>
      </c>
    </row>
    <row r="13" customFormat="false" ht="15" hidden="false" customHeight="false" outlineLevel="0" collapsed="false">
      <c r="A13" s="6" t="s">
        <v>67</v>
      </c>
      <c r="B13" s="6"/>
      <c r="C13" s="6"/>
    </row>
    <row r="14" customFormat="false" ht="15" hidden="false" customHeight="false" outlineLevel="0" collapsed="false">
      <c r="A14" s="7" t="s">
        <v>68</v>
      </c>
      <c r="B14" s="9" t="n">
        <f aca="false">B7/2.205</f>
        <v>81.6326530612245</v>
      </c>
      <c r="C14" s="7" t="s">
        <v>69</v>
      </c>
      <c r="D14" s="7"/>
    </row>
    <row r="15" customFormat="false" ht="15" hidden="false" customHeight="false" outlineLevel="0" collapsed="false">
      <c r="A15" s="7" t="s">
        <v>70</v>
      </c>
      <c r="B15" s="9" t="n">
        <f aca="false">B8*2.54</f>
        <v>177.8</v>
      </c>
      <c r="C15" s="7" t="s">
        <v>69</v>
      </c>
      <c r="D15" s="7"/>
    </row>
    <row r="16" customFormat="false" ht="15" hidden="false" customHeight="false" outlineLevel="0" collapsed="false">
      <c r="A16" s="7" t="s">
        <v>71</v>
      </c>
      <c r="B16" s="9" t="n">
        <f aca="false">IF(B6="Male", 10*B14+6.25*B15-5*B5+5, 10*B14+6.25*B15-5*B5-161)</f>
        <v>1782.57653061224</v>
      </c>
      <c r="C16" s="7" t="s">
        <v>72</v>
      </c>
      <c r="D16" s="7"/>
    </row>
    <row r="17" customFormat="false" ht="15" hidden="false" customHeight="false" outlineLevel="0" collapsed="false">
      <c r="A17" s="7" t="s">
        <v>73</v>
      </c>
      <c r="B17" s="9" t="n">
        <f aca="false">VLOOKUP(B9,D4:E9,2,FALSE())</f>
        <v>1.55</v>
      </c>
      <c r="C17" s="7" t="s">
        <v>74</v>
      </c>
      <c r="D17" s="7"/>
    </row>
    <row r="18" customFormat="false" ht="15" hidden="false" customHeight="false" outlineLevel="0" collapsed="false">
      <c r="A18" s="7" t="s">
        <v>75</v>
      </c>
      <c r="B18" s="9" t="n">
        <f aca="false">ROUND(B16*B17,0)</f>
        <v>2763</v>
      </c>
      <c r="C18" s="7" t="s">
        <v>76</v>
      </c>
      <c r="D18" s="7"/>
    </row>
    <row r="19" customFormat="false" ht="15" hidden="false" customHeight="false" outlineLevel="0" collapsed="false">
      <c r="A19" s="7"/>
      <c r="B19" s="9"/>
      <c r="C19" s="7"/>
      <c r="D19" s="7"/>
    </row>
    <row r="20" customFormat="false" ht="15" hidden="false" customHeight="false" outlineLevel="0" collapsed="false">
      <c r="A20" s="6" t="s">
        <v>77</v>
      </c>
      <c r="B20" s="10"/>
      <c r="C20" s="6"/>
      <c r="D20" s="7"/>
    </row>
    <row r="21" customFormat="false" ht="15" hidden="false" customHeight="false" outlineLevel="0" collapsed="false">
      <c r="A21" s="7" t="s">
        <v>78</v>
      </c>
      <c r="B21" s="9" t="n">
        <f aca="false">ROUND(B18*0.8,0)</f>
        <v>2210</v>
      </c>
      <c r="C21" s="7" t="s">
        <v>79</v>
      </c>
      <c r="D21" s="7"/>
    </row>
    <row r="22" customFormat="false" ht="15" hidden="false" customHeight="false" outlineLevel="0" collapsed="false">
      <c r="A22" s="7" t="s">
        <v>80</v>
      </c>
      <c r="B22" s="9" t="n">
        <f aca="false">B18</f>
        <v>2763</v>
      </c>
      <c r="C22" s="7" t="s">
        <v>81</v>
      </c>
      <c r="D22" s="7"/>
    </row>
    <row r="23" customFormat="false" ht="15" hidden="false" customHeight="false" outlineLevel="0" collapsed="false">
      <c r="A23" s="7" t="s">
        <v>82</v>
      </c>
      <c r="B23" s="9" t="n">
        <f aca="false">ROUND(B18*1.1,0)</f>
        <v>3039</v>
      </c>
      <c r="C23" s="7" t="s">
        <v>83</v>
      </c>
      <c r="D23" s="7"/>
    </row>
    <row r="24" customFormat="false" ht="15" hidden="false" customHeight="false" outlineLevel="0" collapsed="false">
      <c r="A24" s="7" t="s">
        <v>84</v>
      </c>
      <c r="B24" s="9" t="n">
        <f aca="false">ROUND(B18*1.15,0)</f>
        <v>3177</v>
      </c>
      <c r="C24" s="7" t="s">
        <v>85</v>
      </c>
      <c r="D24" s="7"/>
    </row>
    <row r="25" customFormat="false" ht="15" hidden="false" customHeight="false" outlineLevel="0" collapsed="false">
      <c r="A25" s="7"/>
      <c r="B25" s="9"/>
      <c r="C25" s="7"/>
      <c r="D25" s="7"/>
    </row>
    <row r="26" customFormat="false" ht="15" hidden="false" customHeight="false" outlineLevel="0" collapsed="false">
      <c r="A26" s="6" t="s">
        <v>86</v>
      </c>
      <c r="B26" s="10" t="s">
        <v>87</v>
      </c>
      <c r="C26" s="6" t="s">
        <v>88</v>
      </c>
      <c r="D26" s="6" t="s">
        <v>89</v>
      </c>
    </row>
    <row r="27" customFormat="false" ht="15" hidden="false" customHeight="false" outlineLevel="0" collapsed="false">
      <c r="A27" s="7" t="s">
        <v>90</v>
      </c>
      <c r="B27" s="9" t="n">
        <f aca="false">IF(B11="Fat Loss",B21,IF(B11="Maintenance",B22,IF(B11="Muscle Gain",B23,B24)))</f>
        <v>3177</v>
      </c>
      <c r="C27" s="7"/>
      <c r="D27" s="7"/>
    </row>
    <row r="28" customFormat="false" ht="15" hidden="false" customHeight="false" outlineLevel="0" collapsed="false">
      <c r="A28" s="7" t="s">
        <v>91</v>
      </c>
      <c r="B28" s="9" t="n">
        <f aca="false">ROUND(B7*0.9,0)</f>
        <v>162</v>
      </c>
      <c r="C28" s="7" t="n">
        <f aca="false">B28*4</f>
        <v>648</v>
      </c>
      <c r="D28" s="7" t="str">
        <f aca="false">ROUND(C28/B27*100,0)&amp;"%"</f>
        <v>20%</v>
      </c>
    </row>
    <row r="29" customFormat="false" ht="15" hidden="false" customHeight="false" outlineLevel="0" collapsed="false">
      <c r="A29" s="7" t="s">
        <v>92</v>
      </c>
      <c r="B29" s="9" t="str">
        <f aca="false">ROUND(B7*0.7,0)&amp;" - "&amp;ROUND(B7*1.1,0)&amp;" g"</f>
        <v>126 - 198 g</v>
      </c>
      <c r="C29" s="7" t="s">
        <v>93</v>
      </c>
      <c r="D29" s="7"/>
    </row>
    <row r="30" customFormat="false" ht="15" hidden="false" customHeight="false" outlineLevel="0" collapsed="false">
      <c r="A30" s="7" t="s">
        <v>94</v>
      </c>
      <c r="B30" s="9" t="n">
        <f aca="false">ROUND(B27*0.25/9,0)</f>
        <v>88</v>
      </c>
      <c r="C30" s="7" t="n">
        <f aca="false">B30*9</f>
        <v>792</v>
      </c>
      <c r="D30" s="7" t="s">
        <v>95</v>
      </c>
    </row>
    <row r="31" customFormat="false" ht="15" hidden="false" customHeight="false" outlineLevel="0" collapsed="false">
      <c r="A31" s="7" t="s">
        <v>96</v>
      </c>
      <c r="B31" s="9" t="n">
        <f aca="false">ROUND((B27-C28-C30)/4,0)</f>
        <v>434</v>
      </c>
      <c r="C31" s="7" t="n">
        <f aca="false">B31*4</f>
        <v>1736</v>
      </c>
      <c r="D31" s="7" t="str">
        <f aca="false">ROUND(C31/B27*100,0)&amp;"%"</f>
        <v>55%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5" t="s">
        <v>97</v>
      </c>
      <c r="B1" s="5"/>
      <c r="C1" s="5"/>
      <c r="D1" s="5"/>
    </row>
    <row r="3" customFormat="false" ht="45" hidden="false" customHeight="true" outlineLevel="0" collapsed="false">
      <c r="A3" s="11" t="s">
        <v>98</v>
      </c>
      <c r="B3" s="12" t="s">
        <v>99</v>
      </c>
    </row>
    <row r="4" customFormat="false" ht="45" hidden="false" customHeight="true" outlineLevel="0" collapsed="false">
      <c r="A4" s="13" t="s">
        <v>100</v>
      </c>
      <c r="B4" s="13"/>
      <c r="C4" s="13"/>
      <c r="D4" s="13"/>
    </row>
    <row r="5" customFormat="false" ht="45" hidden="false" customHeight="true" outlineLevel="0" collapsed="false"/>
    <row r="6" customFormat="false" ht="45" hidden="false" customHeight="true" outlineLevel="0" collapsed="false">
      <c r="A6" s="11" t="s">
        <v>101</v>
      </c>
      <c r="B6" s="12" t="s">
        <v>102</v>
      </c>
    </row>
    <row r="7" customFormat="false" ht="45" hidden="false" customHeight="true" outlineLevel="0" collapsed="false">
      <c r="A7" s="13" t="s">
        <v>103</v>
      </c>
      <c r="B7" s="13"/>
      <c r="C7" s="13"/>
      <c r="D7" s="13"/>
    </row>
    <row r="8" customFormat="false" ht="45" hidden="false" customHeight="true" outlineLevel="0" collapsed="false"/>
    <row r="9" customFormat="false" ht="45" hidden="false" customHeight="true" outlineLevel="0" collapsed="false">
      <c r="A9" s="11" t="s">
        <v>104</v>
      </c>
      <c r="B9" s="12" t="s">
        <v>105</v>
      </c>
    </row>
    <row r="10" customFormat="false" ht="45" hidden="false" customHeight="true" outlineLevel="0" collapsed="false">
      <c r="A10" s="13" t="s">
        <v>106</v>
      </c>
      <c r="B10" s="13"/>
      <c r="C10" s="13"/>
      <c r="D10" s="13"/>
    </row>
    <row r="11" customFormat="false" ht="45" hidden="false" customHeight="true" outlineLevel="0" collapsed="false"/>
    <row r="12" customFormat="false" ht="45" hidden="false" customHeight="true" outlineLevel="0" collapsed="false">
      <c r="A12" s="11" t="s">
        <v>107</v>
      </c>
      <c r="B12" s="12" t="s">
        <v>108</v>
      </c>
    </row>
    <row r="13" customFormat="false" ht="45" hidden="false" customHeight="true" outlineLevel="0" collapsed="false">
      <c r="A13" s="13" t="s">
        <v>109</v>
      </c>
      <c r="B13" s="13"/>
      <c r="C13" s="13"/>
      <c r="D13" s="13"/>
    </row>
    <row r="14" customFormat="false" ht="45" hidden="false" customHeight="true" outlineLevel="0" collapsed="false"/>
    <row r="15" customFormat="false" ht="45" hidden="false" customHeight="true" outlineLevel="0" collapsed="false">
      <c r="A15" s="11" t="s">
        <v>110</v>
      </c>
      <c r="B15" s="12" t="s">
        <v>111</v>
      </c>
    </row>
    <row r="16" customFormat="false" ht="45" hidden="false" customHeight="true" outlineLevel="0" collapsed="false">
      <c r="A16" s="13" t="s">
        <v>112</v>
      </c>
      <c r="B16" s="13"/>
      <c r="C16" s="13"/>
      <c r="D16" s="13"/>
    </row>
    <row r="17" customFormat="false" ht="45" hidden="false" customHeight="true" outlineLevel="0" collapsed="false"/>
    <row r="18" customFormat="false" ht="45" hidden="false" customHeight="true" outlineLevel="0" collapsed="false">
      <c r="A18" s="11" t="s">
        <v>113</v>
      </c>
      <c r="B18" s="12" t="s">
        <v>114</v>
      </c>
    </row>
    <row r="19" customFormat="false" ht="45" hidden="false" customHeight="true" outlineLevel="0" collapsed="false">
      <c r="A19" s="13" t="s">
        <v>115</v>
      </c>
      <c r="B19" s="13"/>
      <c r="C19" s="13"/>
      <c r="D19" s="13"/>
    </row>
    <row r="20" customFormat="false" ht="45" hidden="false" customHeight="true" outlineLevel="0" collapsed="false"/>
    <row r="21" customFormat="false" ht="45" hidden="false" customHeight="true" outlineLevel="0" collapsed="false">
      <c r="A21" s="11" t="s">
        <v>116</v>
      </c>
      <c r="B21" s="12" t="s">
        <v>117</v>
      </c>
    </row>
    <row r="22" customFormat="false" ht="45" hidden="false" customHeight="true" outlineLevel="0" collapsed="false">
      <c r="A22" s="13" t="s">
        <v>118</v>
      </c>
      <c r="B22" s="13"/>
      <c r="C22" s="13"/>
      <c r="D22" s="13"/>
    </row>
    <row r="23" customFormat="false" ht="45" hidden="false" customHeight="true" outlineLevel="0" collapsed="false"/>
    <row r="24" customFormat="false" ht="45" hidden="false" customHeight="true" outlineLevel="0" collapsed="false">
      <c r="A24" s="11" t="s">
        <v>119</v>
      </c>
      <c r="B24" s="12" t="s">
        <v>120</v>
      </c>
    </row>
    <row r="25" customFormat="false" ht="45" hidden="false" customHeight="true" outlineLevel="0" collapsed="false">
      <c r="A25" s="13" t="s">
        <v>121</v>
      </c>
      <c r="B25" s="13"/>
      <c r="C25" s="13"/>
      <c r="D25" s="13"/>
    </row>
    <row r="26" customFormat="false" ht="45" hidden="false" customHeight="true" outlineLevel="0" collapsed="false"/>
  </sheetData>
  <mergeCells count="9">
    <mergeCell ref="A1:D1"/>
    <mergeCell ref="A4:D4"/>
    <mergeCell ref="A7:D7"/>
    <mergeCell ref="A10:D10"/>
    <mergeCell ref="A13:D13"/>
    <mergeCell ref="A16:D16"/>
    <mergeCell ref="A19:D19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5" t="s">
        <v>122</v>
      </c>
      <c r="B1" s="5"/>
      <c r="C1" s="5"/>
      <c r="D1" s="5"/>
      <c r="E1" s="5"/>
      <c r="F1" s="5"/>
      <c r="G1" s="5"/>
    </row>
    <row r="3" customFormat="false" ht="26.85" hidden="false" customHeight="false" outlineLevel="0" collapsed="false">
      <c r="A3" s="6" t="s">
        <v>63</v>
      </c>
      <c r="B3" s="14" t="s">
        <v>123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</row>
    <row r="4" customFormat="false" ht="15" hidden="false" customHeight="false" outlineLevel="0" collapsed="false">
      <c r="A4" s="15" t="s">
        <v>64</v>
      </c>
      <c r="B4" s="15" t="s">
        <v>129</v>
      </c>
      <c r="C4" s="15" t="s">
        <v>52</v>
      </c>
      <c r="D4" s="15" t="s">
        <v>130</v>
      </c>
      <c r="E4" s="15" t="s">
        <v>131</v>
      </c>
      <c r="F4" s="15" t="s">
        <v>132</v>
      </c>
      <c r="G4" s="15" t="s">
        <v>133</v>
      </c>
    </row>
    <row r="5" customFormat="false" ht="15" hidden="false" customHeight="false" outlineLevel="0" collapsed="false">
      <c r="A5" s="15" t="s">
        <v>134</v>
      </c>
      <c r="B5" s="15" t="s">
        <v>135</v>
      </c>
      <c r="C5" s="15" t="s">
        <v>136</v>
      </c>
      <c r="D5" s="15" t="s">
        <v>95</v>
      </c>
      <c r="E5" s="15" t="s">
        <v>137</v>
      </c>
      <c r="F5" s="15" t="s">
        <v>138</v>
      </c>
      <c r="G5" s="15" t="s">
        <v>139</v>
      </c>
    </row>
    <row r="6" customFormat="false" ht="15" hidden="false" customHeight="false" outlineLevel="0" collapsed="false">
      <c r="A6" s="15" t="s">
        <v>140</v>
      </c>
      <c r="B6" s="15" t="s">
        <v>141</v>
      </c>
      <c r="C6" s="15" t="s">
        <v>142</v>
      </c>
      <c r="D6" s="15" t="s">
        <v>130</v>
      </c>
      <c r="E6" s="15" t="s">
        <v>143</v>
      </c>
      <c r="F6" s="15" t="s">
        <v>144</v>
      </c>
      <c r="G6" s="15" t="s">
        <v>145</v>
      </c>
    </row>
    <row r="7" customFormat="false" ht="15" hidden="false" customHeight="false" outlineLevel="0" collapsed="false">
      <c r="A7" s="15" t="s">
        <v>146</v>
      </c>
      <c r="B7" s="15" t="s">
        <v>147</v>
      </c>
      <c r="C7" s="15" t="s">
        <v>52</v>
      </c>
      <c r="D7" s="15" t="s">
        <v>148</v>
      </c>
      <c r="E7" s="15" t="s">
        <v>149</v>
      </c>
      <c r="F7" s="15" t="s">
        <v>150</v>
      </c>
      <c r="G7" s="15" t="s">
        <v>151</v>
      </c>
    </row>
    <row r="8" customFormat="false" ht="15" hidden="false" customHeight="false" outlineLevel="0" collapsed="false">
      <c r="A8" s="15" t="s">
        <v>152</v>
      </c>
      <c r="B8" s="15" t="s">
        <v>129</v>
      </c>
      <c r="C8" s="15" t="s">
        <v>52</v>
      </c>
      <c r="D8" s="15" t="s">
        <v>130</v>
      </c>
      <c r="E8" s="15" t="s">
        <v>153</v>
      </c>
      <c r="F8" s="15" t="s">
        <v>154</v>
      </c>
      <c r="G8" s="15" t="s">
        <v>155</v>
      </c>
    </row>
    <row r="9" customFormat="false" ht="15" hidden="false" customHeight="false" outlineLevel="0" collapsed="false">
      <c r="A9" s="15" t="s">
        <v>156</v>
      </c>
      <c r="B9" s="15" t="s">
        <v>141</v>
      </c>
      <c r="C9" s="15" t="s">
        <v>52</v>
      </c>
      <c r="D9" s="15" t="s">
        <v>148</v>
      </c>
      <c r="E9" s="15" t="s">
        <v>157</v>
      </c>
      <c r="F9" s="15" t="s">
        <v>158</v>
      </c>
      <c r="G9" s="15" t="s">
        <v>159</v>
      </c>
    </row>
    <row r="10" customFormat="false" ht="15" hidden="false" customHeight="false" outlineLevel="0" collapsed="false">
      <c r="A10" s="15" t="s">
        <v>160</v>
      </c>
      <c r="B10" s="15" t="s">
        <v>129</v>
      </c>
      <c r="C10" s="15" t="s">
        <v>142</v>
      </c>
      <c r="D10" s="15" t="s">
        <v>161</v>
      </c>
      <c r="E10" s="15" t="s">
        <v>162</v>
      </c>
      <c r="F10" s="15" t="s">
        <v>163</v>
      </c>
      <c r="G10" s="15" t="s">
        <v>164</v>
      </c>
    </row>
    <row r="11" customFormat="false" ht="15" hidden="false" customHeight="false" outlineLevel="0" collapsed="false">
      <c r="A11" s="15" t="s">
        <v>165</v>
      </c>
      <c r="B11" s="15" t="s">
        <v>141</v>
      </c>
      <c r="C11" s="15" t="s">
        <v>142</v>
      </c>
      <c r="D11" s="15" t="s">
        <v>95</v>
      </c>
      <c r="E11" s="15" t="s">
        <v>166</v>
      </c>
      <c r="F11" s="15" t="s">
        <v>167</v>
      </c>
      <c r="G11" s="15" t="s">
        <v>168</v>
      </c>
    </row>
    <row r="12" customFormat="false" ht="15" hidden="false" customHeight="false" outlineLevel="0" collapsed="false">
      <c r="A12" s="15" t="s">
        <v>169</v>
      </c>
      <c r="B12" s="15" t="s">
        <v>135</v>
      </c>
      <c r="C12" s="15" t="s">
        <v>142</v>
      </c>
      <c r="D12" s="15" t="s">
        <v>130</v>
      </c>
      <c r="E12" s="15" t="s">
        <v>170</v>
      </c>
      <c r="F12" s="15" t="s">
        <v>171</v>
      </c>
      <c r="G12" s="15" t="s">
        <v>172</v>
      </c>
    </row>
    <row r="13" customFormat="false" ht="15" hidden="false" customHeight="false" outlineLevel="0" collapsed="false">
      <c r="A13" s="15" t="s">
        <v>173</v>
      </c>
      <c r="B13" s="15" t="s">
        <v>135</v>
      </c>
      <c r="C13" s="15" t="s">
        <v>142</v>
      </c>
      <c r="D13" s="15" t="s">
        <v>95</v>
      </c>
      <c r="E13" s="15" t="s">
        <v>143</v>
      </c>
      <c r="F13" s="15" t="s">
        <v>174</v>
      </c>
      <c r="G13" s="15" t="s">
        <v>175</v>
      </c>
    </row>
    <row r="14" customFormat="false" ht="15" hidden="false" customHeight="false" outlineLevel="0" collapsed="false">
      <c r="A14" s="15" t="s">
        <v>176</v>
      </c>
      <c r="B14" s="15" t="s">
        <v>177</v>
      </c>
      <c r="C14" s="15" t="s">
        <v>142</v>
      </c>
      <c r="D14" s="15" t="s">
        <v>95</v>
      </c>
      <c r="E14" s="15" t="s">
        <v>178</v>
      </c>
      <c r="F14" s="15" t="s">
        <v>179</v>
      </c>
      <c r="G14" s="15" t="s">
        <v>180</v>
      </c>
    </row>
    <row r="15" customFormat="false" ht="15" hidden="false" customHeight="false" outlineLevel="0" collapsed="false">
      <c r="A15" s="15" t="s">
        <v>181</v>
      </c>
      <c r="B15" s="15" t="s">
        <v>129</v>
      </c>
      <c r="C15" s="15" t="s">
        <v>136</v>
      </c>
      <c r="D15" s="15" t="s">
        <v>95</v>
      </c>
      <c r="E15" s="15" t="s">
        <v>166</v>
      </c>
      <c r="F15" s="15" t="s">
        <v>182</v>
      </c>
      <c r="G15" s="15" t="s">
        <v>183</v>
      </c>
    </row>
    <row r="16" customFormat="false" ht="15" hidden="false" customHeight="false" outlineLevel="0" collapsed="false">
      <c r="A16" s="15" t="s">
        <v>184</v>
      </c>
      <c r="B16" s="15" t="s">
        <v>141</v>
      </c>
      <c r="C16" s="15" t="s">
        <v>52</v>
      </c>
      <c r="D16" s="15" t="s">
        <v>130</v>
      </c>
      <c r="E16" s="15" t="s">
        <v>131</v>
      </c>
      <c r="F16" s="15" t="s">
        <v>185</v>
      </c>
      <c r="G16" s="15" t="s">
        <v>186</v>
      </c>
    </row>
    <row r="17" customFormat="false" ht="15" hidden="false" customHeight="false" outlineLevel="0" collapsed="false">
      <c r="A17" s="15" t="s">
        <v>187</v>
      </c>
      <c r="B17" s="15" t="s">
        <v>188</v>
      </c>
      <c r="C17" s="15" t="s">
        <v>52</v>
      </c>
      <c r="D17" s="15" t="s">
        <v>148</v>
      </c>
      <c r="E17" s="15" t="s">
        <v>166</v>
      </c>
      <c r="F17" s="15" t="s">
        <v>189</v>
      </c>
      <c r="G17" s="15" t="s">
        <v>190</v>
      </c>
    </row>
    <row r="18" customFormat="false" ht="23.85" hidden="false" customHeight="false" outlineLevel="0" collapsed="false">
      <c r="A18" s="15" t="s">
        <v>191</v>
      </c>
      <c r="B18" s="15" t="s">
        <v>192</v>
      </c>
      <c r="C18" s="15" t="s">
        <v>52</v>
      </c>
      <c r="D18" s="15" t="s">
        <v>148</v>
      </c>
      <c r="E18" s="15" t="s">
        <v>143</v>
      </c>
      <c r="F18" s="15" t="s">
        <v>193</v>
      </c>
      <c r="G18" s="15" t="s">
        <v>194</v>
      </c>
    </row>
    <row r="19" customFormat="false" ht="15" hidden="false" customHeight="false" outlineLevel="0" collapsed="false">
      <c r="A19" s="15" t="s">
        <v>195</v>
      </c>
      <c r="B19" s="15" t="s">
        <v>147</v>
      </c>
      <c r="C19" s="15" t="s">
        <v>142</v>
      </c>
      <c r="D19" s="15" t="s">
        <v>130</v>
      </c>
      <c r="E19" s="15" t="s">
        <v>157</v>
      </c>
      <c r="F19" s="15" t="s">
        <v>196</v>
      </c>
      <c r="G19" s="15" t="s">
        <v>197</v>
      </c>
    </row>
    <row r="20" customFormat="false" ht="15" hidden="false" customHeight="false" outlineLevel="0" collapsed="false">
      <c r="A20" s="15" t="s">
        <v>198</v>
      </c>
      <c r="B20" s="15" t="s">
        <v>129</v>
      </c>
      <c r="C20" s="15" t="s">
        <v>142</v>
      </c>
      <c r="D20" s="15" t="s">
        <v>95</v>
      </c>
      <c r="E20" s="15" t="s">
        <v>137</v>
      </c>
      <c r="F20" s="15" t="s">
        <v>199</v>
      </c>
      <c r="G20" s="15" t="s">
        <v>200</v>
      </c>
    </row>
    <row r="21" customFormat="false" ht="15" hidden="false" customHeight="false" outlineLevel="0" collapsed="false">
      <c r="A21" s="15" t="s">
        <v>201</v>
      </c>
      <c r="B21" s="15" t="s">
        <v>141</v>
      </c>
      <c r="C21" s="15" t="s">
        <v>202</v>
      </c>
      <c r="D21" s="15" t="s">
        <v>148</v>
      </c>
      <c r="E21" s="15" t="s">
        <v>131</v>
      </c>
      <c r="F21" s="15" t="s">
        <v>203</v>
      </c>
      <c r="G21" s="15" t="s">
        <v>204</v>
      </c>
    </row>
    <row r="22" customFormat="false" ht="15" hidden="false" customHeight="false" outlineLevel="0" collapsed="false">
      <c r="A22" s="15" t="s">
        <v>205</v>
      </c>
      <c r="B22" s="15" t="s">
        <v>141</v>
      </c>
      <c r="C22" s="15" t="s">
        <v>142</v>
      </c>
      <c r="D22" s="15" t="s">
        <v>95</v>
      </c>
      <c r="E22" s="15" t="s">
        <v>131</v>
      </c>
      <c r="F22" s="15" t="s">
        <v>206</v>
      </c>
      <c r="G22" s="15" t="s">
        <v>207</v>
      </c>
    </row>
    <row r="23" customFormat="false" ht="15" hidden="false" customHeight="false" outlineLevel="0" collapsed="false">
      <c r="A23" s="15" t="s">
        <v>208</v>
      </c>
      <c r="B23" s="15" t="s">
        <v>129</v>
      </c>
      <c r="C23" s="15" t="s">
        <v>52</v>
      </c>
      <c r="D23" s="15" t="s">
        <v>130</v>
      </c>
      <c r="E23" s="15" t="s">
        <v>131</v>
      </c>
      <c r="F23" s="15" t="s">
        <v>209</v>
      </c>
      <c r="G23" s="15" t="s">
        <v>210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5" t="s">
        <v>211</v>
      </c>
      <c r="B1" s="5"/>
      <c r="C1" s="5"/>
      <c r="D1" s="5"/>
      <c r="E1" s="5"/>
    </row>
    <row r="3" customFormat="false" ht="15" hidden="false" customHeight="false" outlineLevel="0" collapsed="false">
      <c r="A3" s="6" t="s">
        <v>212</v>
      </c>
      <c r="B3" s="6" t="s">
        <v>213</v>
      </c>
      <c r="C3" s="6" t="s">
        <v>214</v>
      </c>
      <c r="D3" s="6" t="s">
        <v>215</v>
      </c>
      <c r="E3" s="6" t="s">
        <v>216</v>
      </c>
    </row>
    <row r="4" customFormat="false" ht="79.5" hidden="false" customHeight="true" outlineLevel="0" collapsed="false">
      <c r="A4" s="16" t="s">
        <v>217</v>
      </c>
      <c r="B4" s="16" t="s">
        <v>218</v>
      </c>
      <c r="C4" s="16" t="s">
        <v>219</v>
      </c>
      <c r="D4" s="16" t="s">
        <v>220</v>
      </c>
      <c r="E4" s="16" t="s">
        <v>221</v>
      </c>
    </row>
    <row r="5" customFormat="false" ht="79.5" hidden="false" customHeight="true" outlineLevel="0" collapsed="false">
      <c r="A5" s="16" t="s">
        <v>222</v>
      </c>
      <c r="B5" s="16" t="s">
        <v>223</v>
      </c>
      <c r="C5" s="16" t="s">
        <v>224</v>
      </c>
      <c r="D5" s="16" t="s">
        <v>225</v>
      </c>
      <c r="E5" s="16" t="s">
        <v>226</v>
      </c>
    </row>
    <row r="6" customFormat="false" ht="79.5" hidden="false" customHeight="true" outlineLevel="0" collapsed="false">
      <c r="A6" s="16" t="s">
        <v>227</v>
      </c>
      <c r="B6" s="16" t="s">
        <v>228</v>
      </c>
      <c r="C6" s="16" t="s">
        <v>224</v>
      </c>
      <c r="D6" s="16" t="s">
        <v>229</v>
      </c>
      <c r="E6" s="16" t="s">
        <v>132</v>
      </c>
    </row>
    <row r="7" customFormat="false" ht="79.5" hidden="false" customHeight="true" outlineLevel="0" collapsed="false">
      <c r="A7" s="16" t="s">
        <v>230</v>
      </c>
      <c r="B7" s="16" t="s">
        <v>228</v>
      </c>
      <c r="C7" s="16" t="s">
        <v>231</v>
      </c>
      <c r="D7" s="16" t="s">
        <v>232</v>
      </c>
      <c r="E7" s="16" t="s">
        <v>233</v>
      </c>
    </row>
    <row r="8" customFormat="false" ht="79.5" hidden="false" customHeight="true" outlineLevel="0" collapsed="false">
      <c r="A8" s="16" t="s">
        <v>234</v>
      </c>
      <c r="B8" s="16" t="s">
        <v>235</v>
      </c>
      <c r="C8" s="16" t="s">
        <v>236</v>
      </c>
      <c r="D8" s="16" t="s">
        <v>237</v>
      </c>
      <c r="E8" s="16" t="s">
        <v>238</v>
      </c>
    </row>
    <row r="9" customFormat="false" ht="79.5" hidden="false" customHeight="true" outlineLevel="0" collapsed="false">
      <c r="A9" s="16" t="s">
        <v>239</v>
      </c>
      <c r="B9" s="16" t="s">
        <v>240</v>
      </c>
      <c r="C9" s="16" t="s">
        <v>241</v>
      </c>
      <c r="D9" s="16" t="s">
        <v>242</v>
      </c>
      <c r="E9" s="16" t="s">
        <v>243</v>
      </c>
    </row>
    <row r="10" customFormat="false" ht="79.5" hidden="false" customHeight="true" outlineLevel="0" collapsed="false">
      <c r="A10" s="16" t="s">
        <v>244</v>
      </c>
      <c r="B10" s="16" t="s">
        <v>245</v>
      </c>
      <c r="C10" s="16" t="s">
        <v>246</v>
      </c>
      <c r="D10" s="16" t="s">
        <v>247</v>
      </c>
      <c r="E10" s="16" t="s">
        <v>248</v>
      </c>
    </row>
    <row r="11" customFormat="false" ht="79.5" hidden="false" customHeight="true" outlineLevel="0" collapsed="false">
      <c r="A11" s="16" t="s">
        <v>249</v>
      </c>
      <c r="B11" s="16" t="s">
        <v>250</v>
      </c>
      <c r="C11" s="16" t="s">
        <v>251</v>
      </c>
      <c r="D11" s="16" t="s">
        <v>252</v>
      </c>
      <c r="E11" s="16" t="s">
        <v>253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5" t="s">
        <v>254</v>
      </c>
      <c r="B1" s="5"/>
      <c r="C1" s="5"/>
      <c r="D1" s="5"/>
    </row>
    <row r="3" customFormat="false" ht="15" hidden="false" customHeight="false" outlineLevel="0" collapsed="false">
      <c r="A3" s="6" t="s">
        <v>255</v>
      </c>
      <c r="B3" s="6"/>
      <c r="C3" s="6"/>
      <c r="D3" s="6"/>
    </row>
    <row r="4" customFormat="false" ht="15" hidden="false" customHeight="false" outlineLevel="0" collapsed="false">
      <c r="A4" s="4" t="s">
        <v>256</v>
      </c>
      <c r="B4" s="17" t="s">
        <v>257</v>
      </c>
      <c r="C4" s="17"/>
      <c r="D4" s="17"/>
    </row>
    <row r="5" customFormat="false" ht="15" hidden="false" customHeight="false" outlineLevel="0" collapsed="false">
      <c r="A5" s="4" t="s">
        <v>258</v>
      </c>
      <c r="B5" s="17" t="s">
        <v>259</v>
      </c>
      <c r="C5" s="17"/>
      <c r="D5" s="17"/>
    </row>
    <row r="6" customFormat="false" ht="15" hidden="false" customHeight="false" outlineLevel="0" collapsed="false">
      <c r="A6" s="4" t="s">
        <v>260</v>
      </c>
      <c r="B6" s="17" t="s">
        <v>261</v>
      </c>
      <c r="C6" s="17"/>
      <c r="D6" s="17"/>
    </row>
    <row r="7" customFormat="false" ht="15" hidden="false" customHeight="false" outlineLevel="0" collapsed="false">
      <c r="A7" s="4" t="s">
        <v>262</v>
      </c>
      <c r="B7" s="17" t="s">
        <v>263</v>
      </c>
      <c r="C7" s="17"/>
      <c r="D7" s="17"/>
    </row>
    <row r="8" customFormat="false" ht="15" hidden="false" customHeight="false" outlineLevel="0" collapsed="false">
      <c r="A8" s="4" t="s">
        <v>264</v>
      </c>
      <c r="B8" s="17" t="s">
        <v>265</v>
      </c>
      <c r="C8" s="17"/>
      <c r="D8" s="17"/>
    </row>
    <row r="9" customFormat="false" ht="15" hidden="false" customHeight="false" outlineLevel="0" collapsed="false">
      <c r="A9" s="4" t="s">
        <v>127</v>
      </c>
      <c r="B9" s="17" t="s">
        <v>266</v>
      </c>
      <c r="C9" s="17"/>
      <c r="D9" s="17"/>
    </row>
    <row r="10" customFormat="false" ht="15" hidden="false" customHeight="false" outlineLevel="0" collapsed="false">
      <c r="A10" s="4" t="s">
        <v>267</v>
      </c>
      <c r="B10" s="17" t="s">
        <v>268</v>
      </c>
      <c r="C10" s="17"/>
      <c r="D10" s="17"/>
    </row>
    <row r="11" customFormat="false" ht="15" hidden="false" customHeight="false" outlineLevel="0" collapsed="false">
      <c r="A11" s="4" t="s">
        <v>269</v>
      </c>
      <c r="B11" s="17" t="s">
        <v>270</v>
      </c>
      <c r="C11" s="17"/>
      <c r="D11" s="17"/>
    </row>
    <row r="13" customFormat="false" ht="15" hidden="false" customHeight="false" outlineLevel="0" collapsed="false">
      <c r="A13" s="6" t="s">
        <v>271</v>
      </c>
      <c r="B13" s="6"/>
      <c r="C13" s="6"/>
      <c r="D13" s="6"/>
    </row>
    <row r="14" customFormat="false" ht="15" hidden="false" customHeight="false" outlineLevel="0" collapsed="false">
      <c r="A14" s="4" t="s">
        <v>256</v>
      </c>
      <c r="B14" s="17" t="s">
        <v>272</v>
      </c>
      <c r="C14" s="17"/>
      <c r="D14" s="17"/>
    </row>
    <row r="15" customFormat="false" ht="15" hidden="false" customHeight="false" outlineLevel="0" collapsed="false">
      <c r="A15" s="4" t="s">
        <v>258</v>
      </c>
      <c r="B15" s="17" t="s">
        <v>273</v>
      </c>
      <c r="C15" s="17"/>
      <c r="D15" s="17"/>
    </row>
    <row r="16" customFormat="false" ht="15" hidden="false" customHeight="false" outlineLevel="0" collapsed="false">
      <c r="A16" s="4" t="s">
        <v>260</v>
      </c>
      <c r="B16" s="17" t="s">
        <v>274</v>
      </c>
      <c r="C16" s="17"/>
      <c r="D16" s="17"/>
    </row>
    <row r="17" customFormat="false" ht="15" hidden="false" customHeight="false" outlineLevel="0" collapsed="false">
      <c r="A17" s="4" t="s">
        <v>262</v>
      </c>
      <c r="B17" s="17" t="s">
        <v>275</v>
      </c>
      <c r="C17" s="17"/>
      <c r="D17" s="17"/>
    </row>
    <row r="18" customFormat="false" ht="15" hidden="false" customHeight="false" outlineLevel="0" collapsed="false">
      <c r="A18" s="4" t="s">
        <v>276</v>
      </c>
      <c r="B18" s="17" t="s">
        <v>277</v>
      </c>
      <c r="C18" s="17"/>
      <c r="D18" s="17"/>
    </row>
    <row r="19" customFormat="false" ht="15" hidden="false" customHeight="false" outlineLevel="0" collapsed="false">
      <c r="A19" s="4" t="s">
        <v>278</v>
      </c>
      <c r="B19" s="17" t="s">
        <v>279</v>
      </c>
      <c r="C19" s="17"/>
      <c r="D19" s="17"/>
    </row>
    <row r="20" customFormat="false" ht="15" hidden="false" customHeight="false" outlineLevel="0" collapsed="false">
      <c r="A20" s="4" t="s">
        <v>280</v>
      </c>
      <c r="B20" s="17" t="s">
        <v>281</v>
      </c>
      <c r="C20" s="17"/>
      <c r="D20" s="17"/>
    </row>
    <row r="21" customFormat="false" ht="15" hidden="false" customHeight="false" outlineLevel="0" collapsed="false">
      <c r="A21" s="4" t="s">
        <v>267</v>
      </c>
      <c r="B21" s="17" t="s">
        <v>282</v>
      </c>
      <c r="C21" s="17"/>
      <c r="D21" s="17"/>
    </row>
    <row r="22" customFormat="false" ht="15" hidden="false" customHeight="false" outlineLevel="0" collapsed="false">
      <c r="A22" s="4" t="s">
        <v>127</v>
      </c>
      <c r="B22" s="17" t="s">
        <v>283</v>
      </c>
      <c r="C22" s="17"/>
      <c r="D22" s="17"/>
    </row>
    <row r="24" customFormat="false" ht="15" hidden="false" customHeight="false" outlineLevel="0" collapsed="false">
      <c r="A24" s="6" t="s">
        <v>284</v>
      </c>
      <c r="B24" s="6"/>
      <c r="C24" s="6"/>
      <c r="D24" s="6"/>
    </row>
    <row r="25" customFormat="false" ht="15" hidden="false" customHeight="false" outlineLevel="0" collapsed="false">
      <c r="A25" s="4" t="s">
        <v>285</v>
      </c>
      <c r="B25" s="17" t="s">
        <v>286</v>
      </c>
      <c r="C25" s="17"/>
      <c r="D25" s="17"/>
    </row>
    <row r="26" customFormat="false" ht="15" hidden="false" customHeight="false" outlineLevel="0" collapsed="false">
      <c r="A26" s="4" t="s">
        <v>287</v>
      </c>
      <c r="B26" s="17" t="s">
        <v>288</v>
      </c>
      <c r="C26" s="17"/>
      <c r="D26" s="17"/>
    </row>
    <row r="27" customFormat="false" ht="15" hidden="false" customHeight="false" outlineLevel="0" collapsed="false">
      <c r="A27" s="4" t="s">
        <v>289</v>
      </c>
      <c r="B27" s="17" t="s">
        <v>290</v>
      </c>
      <c r="C27" s="17"/>
      <c r="D27" s="17"/>
    </row>
    <row r="28" customFormat="false" ht="15" hidden="false" customHeight="false" outlineLevel="0" collapsed="false">
      <c r="A28" s="4" t="s">
        <v>291</v>
      </c>
      <c r="B28" s="17" t="s">
        <v>292</v>
      </c>
      <c r="C28" s="17"/>
      <c r="D28" s="17"/>
    </row>
    <row r="29" customFormat="false" ht="15" hidden="false" customHeight="false" outlineLevel="0" collapsed="false">
      <c r="A29" s="4" t="s">
        <v>127</v>
      </c>
      <c r="B29" s="17" t="s">
        <v>293</v>
      </c>
      <c r="C29" s="17"/>
      <c r="D29" s="17"/>
    </row>
    <row r="30" customFormat="false" ht="15" hidden="false" customHeight="false" outlineLevel="0" collapsed="false">
      <c r="A30" s="4" t="s">
        <v>294</v>
      </c>
      <c r="B30" s="17" t="s">
        <v>295</v>
      </c>
      <c r="C30" s="17"/>
      <c r="D30" s="17"/>
    </row>
    <row r="31" customFormat="false" ht="15" hidden="false" customHeight="false" outlineLevel="0" collapsed="false">
      <c r="A31" s="4" t="s">
        <v>296</v>
      </c>
      <c r="B31" s="17" t="s">
        <v>297</v>
      </c>
      <c r="C31" s="17"/>
      <c r="D31" s="17"/>
    </row>
  </sheetData>
  <mergeCells count="25">
    <mergeCell ref="A1:D1"/>
    <mergeCell ref="B4:D4"/>
    <mergeCell ref="B5:D5"/>
    <mergeCell ref="B6:D6"/>
    <mergeCell ref="B7:D7"/>
    <mergeCell ref="B8:D8"/>
    <mergeCell ref="B9:D9"/>
    <mergeCell ref="B10:D10"/>
    <mergeCell ref="B11:D11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5:D25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5" t="s">
        <v>298</v>
      </c>
      <c r="B1" s="5"/>
      <c r="C1" s="5"/>
      <c r="D1" s="5"/>
    </row>
    <row r="3" customFormat="false" ht="15" hidden="false" customHeight="false" outlineLevel="0" collapsed="false">
      <c r="A3" s="6" t="s">
        <v>269</v>
      </c>
      <c r="B3" s="6" t="s">
        <v>299</v>
      </c>
      <c r="C3" s="6" t="s">
        <v>300</v>
      </c>
      <c r="D3" s="6" t="s">
        <v>301</v>
      </c>
    </row>
    <row r="4" customFormat="false" ht="49.5" hidden="false" customHeight="true" outlineLevel="0" collapsed="false">
      <c r="A4" s="16" t="s">
        <v>302</v>
      </c>
      <c r="B4" s="16" t="s">
        <v>303</v>
      </c>
      <c r="C4" s="16" t="s">
        <v>304</v>
      </c>
      <c r="D4" s="16" t="s">
        <v>305</v>
      </c>
    </row>
    <row r="5" customFormat="false" ht="49.5" hidden="false" customHeight="true" outlineLevel="0" collapsed="false">
      <c r="A5" s="16" t="s">
        <v>306</v>
      </c>
      <c r="B5" s="16" t="s">
        <v>307</v>
      </c>
      <c r="C5" s="16" t="s">
        <v>308</v>
      </c>
      <c r="D5" s="16" t="s">
        <v>309</v>
      </c>
    </row>
    <row r="6" customFormat="false" ht="49.5" hidden="false" customHeight="true" outlineLevel="0" collapsed="false">
      <c r="A6" s="16" t="s">
        <v>310</v>
      </c>
      <c r="B6" s="16" t="s">
        <v>311</v>
      </c>
      <c r="C6" s="16" t="s">
        <v>312</v>
      </c>
      <c r="D6" s="16" t="s">
        <v>313</v>
      </c>
    </row>
    <row r="7" customFormat="false" ht="49.5" hidden="false" customHeight="true" outlineLevel="0" collapsed="false">
      <c r="A7" s="16" t="s">
        <v>314</v>
      </c>
      <c r="B7" s="16" t="s">
        <v>315</v>
      </c>
      <c r="C7" s="16" t="s">
        <v>316</v>
      </c>
      <c r="D7" s="16" t="s">
        <v>317</v>
      </c>
    </row>
    <row r="8" customFormat="false" ht="49.5" hidden="false" customHeight="true" outlineLevel="0" collapsed="false">
      <c r="A8" s="16" t="s">
        <v>318</v>
      </c>
      <c r="B8" s="16" t="s">
        <v>319</v>
      </c>
      <c r="C8" s="16" t="s">
        <v>320</v>
      </c>
      <c r="D8" s="16" t="s">
        <v>321</v>
      </c>
    </row>
    <row r="9" customFormat="false" ht="49.5" hidden="false" customHeight="true" outlineLevel="0" collapsed="false">
      <c r="A9" s="16" t="s">
        <v>322</v>
      </c>
      <c r="B9" s="16" t="s">
        <v>323</v>
      </c>
      <c r="C9" s="16" t="s">
        <v>324</v>
      </c>
      <c r="D9" s="16" t="s">
        <v>325</v>
      </c>
    </row>
    <row r="10" customFormat="false" ht="49.5" hidden="false" customHeight="true" outlineLevel="0" collapsed="false">
      <c r="A10" s="16" t="s">
        <v>326</v>
      </c>
      <c r="B10" s="16" t="s">
        <v>327</v>
      </c>
      <c r="C10" s="16" t="s">
        <v>328</v>
      </c>
      <c r="D10" s="16" t="s">
        <v>329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5" t="s">
        <v>330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331</v>
      </c>
      <c r="B3" s="6" t="s">
        <v>332</v>
      </c>
      <c r="C3" s="6" t="s">
        <v>333</v>
      </c>
      <c r="D3" s="6" t="s">
        <v>334</v>
      </c>
      <c r="E3" s="6" t="s">
        <v>104</v>
      </c>
      <c r="F3" s="6" t="s">
        <v>335</v>
      </c>
    </row>
    <row r="4" customFormat="false" ht="15" hidden="false" customHeight="false" outlineLevel="0" collapsed="false">
      <c r="A4" s="7" t="s">
        <v>336</v>
      </c>
      <c r="B4" s="7" t="s">
        <v>337</v>
      </c>
      <c r="C4" s="7" t="s">
        <v>338</v>
      </c>
      <c r="D4" s="7" t="s">
        <v>339</v>
      </c>
      <c r="E4" s="7" t="s">
        <v>340</v>
      </c>
      <c r="F4" s="7" t="s">
        <v>341</v>
      </c>
    </row>
    <row r="5" customFormat="false" ht="15" hidden="false" customHeight="false" outlineLevel="0" collapsed="false">
      <c r="A5" s="7" t="s">
        <v>342</v>
      </c>
      <c r="B5" s="7" t="s">
        <v>343</v>
      </c>
      <c r="C5" s="7" t="s">
        <v>344</v>
      </c>
      <c r="D5" s="7" t="s">
        <v>345</v>
      </c>
      <c r="E5" s="7" t="s">
        <v>346</v>
      </c>
      <c r="F5" s="7" t="s">
        <v>347</v>
      </c>
    </row>
    <row r="6" customFormat="false" ht="15" hidden="false" customHeight="false" outlineLevel="0" collapsed="false">
      <c r="A6" s="7" t="s">
        <v>348</v>
      </c>
      <c r="B6" s="7" t="s">
        <v>349</v>
      </c>
      <c r="C6" s="7" t="s">
        <v>350</v>
      </c>
      <c r="D6" s="7" t="s">
        <v>351</v>
      </c>
      <c r="E6" s="7" t="s">
        <v>352</v>
      </c>
      <c r="F6" s="7" t="s">
        <v>353</v>
      </c>
    </row>
    <row r="7" customFormat="false" ht="15" hidden="false" customHeight="false" outlineLevel="0" collapsed="false">
      <c r="A7" s="7" t="s">
        <v>354</v>
      </c>
      <c r="B7" s="7" t="s">
        <v>355</v>
      </c>
      <c r="C7" s="7" t="s">
        <v>356</v>
      </c>
      <c r="D7" s="7" t="s">
        <v>357</v>
      </c>
      <c r="E7" s="7" t="s">
        <v>358</v>
      </c>
      <c r="F7" s="7" t="s">
        <v>359</v>
      </c>
    </row>
    <row r="8" customFormat="false" ht="15" hidden="false" customHeight="false" outlineLevel="0" collapsed="false">
      <c r="A8" s="7" t="s">
        <v>360</v>
      </c>
      <c r="B8" s="7" t="s">
        <v>361</v>
      </c>
      <c r="C8" s="7" t="s">
        <v>362</v>
      </c>
      <c r="D8" s="7" t="s">
        <v>363</v>
      </c>
      <c r="E8" s="7" t="s">
        <v>364</v>
      </c>
      <c r="F8" s="7" t="s">
        <v>365</v>
      </c>
    </row>
    <row r="9" customFormat="false" ht="15" hidden="false" customHeight="false" outlineLevel="0" collapsed="false">
      <c r="A9" s="7" t="s">
        <v>366</v>
      </c>
      <c r="B9" s="7" t="s">
        <v>367</v>
      </c>
      <c r="C9" s="7" t="s">
        <v>368</v>
      </c>
      <c r="D9" s="7" t="s">
        <v>369</v>
      </c>
      <c r="E9" s="7" t="s">
        <v>370</v>
      </c>
      <c r="F9" s="7" t="s">
        <v>371</v>
      </c>
    </row>
    <row r="10" customFormat="false" ht="15" hidden="false" customHeight="false" outlineLevel="0" collapsed="false">
      <c r="A10" s="7" t="s">
        <v>372</v>
      </c>
      <c r="B10" s="7" t="s">
        <v>373</v>
      </c>
      <c r="C10" s="7" t="s">
        <v>374</v>
      </c>
      <c r="D10" s="7" t="s">
        <v>375</v>
      </c>
      <c r="E10" s="7" t="s">
        <v>376</v>
      </c>
      <c r="F10" s="7" t="s">
        <v>377</v>
      </c>
    </row>
    <row r="11" customFormat="false" ht="15" hidden="false" customHeight="false" outlineLevel="0" collapsed="false">
      <c r="A11" s="7" t="s">
        <v>341</v>
      </c>
      <c r="B11" s="7" t="s">
        <v>378</v>
      </c>
      <c r="C11" s="7" t="s">
        <v>379</v>
      </c>
      <c r="D11" s="7" t="s">
        <v>380</v>
      </c>
    </row>
    <row r="12" customFormat="false" ht="15" hidden="false" customHeight="false" outlineLevel="0" collapsed="false">
      <c r="A12" s="7" t="s">
        <v>359</v>
      </c>
      <c r="B12" s="7" t="s">
        <v>381</v>
      </c>
      <c r="C12" s="7" t="s">
        <v>382</v>
      </c>
      <c r="D12" s="7" t="s">
        <v>383</v>
      </c>
    </row>
    <row r="13" customFormat="false" ht="15" hidden="false" customHeight="false" outlineLevel="0" collapsed="false">
      <c r="A13" s="7" t="s">
        <v>384</v>
      </c>
      <c r="B13" s="7" t="s">
        <v>385</v>
      </c>
      <c r="C13" s="7" t="s">
        <v>386</v>
      </c>
      <c r="D13" s="7" t="s">
        <v>387</v>
      </c>
    </row>
    <row r="14" customFormat="false" ht="15" hidden="false" customHeight="false" outlineLevel="0" collapsed="false">
      <c r="A14" s="7" t="s">
        <v>388</v>
      </c>
      <c r="B14" s="7" t="s">
        <v>389</v>
      </c>
      <c r="C14" s="7" t="s">
        <v>390</v>
      </c>
      <c r="D14" s="7" t="s">
        <v>391</v>
      </c>
    </row>
    <row r="15" customFormat="false" ht="15" hidden="false" customHeight="false" outlineLevel="0" collapsed="false">
      <c r="A15" s="7" t="s">
        <v>392</v>
      </c>
      <c r="B15" s="7" t="s">
        <v>393</v>
      </c>
      <c r="D15" s="7" t="s">
        <v>394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5"/>
  </cols>
  <sheetData>
    <row r="1" customFormat="false" ht="17.35" hidden="false" customHeight="false" outlineLevel="0" collapsed="false">
      <c r="A1" s="5" t="s">
        <v>395</v>
      </c>
      <c r="B1" s="5"/>
      <c r="C1" s="5"/>
      <c r="D1" s="5"/>
    </row>
    <row r="3" customFormat="false" ht="15" hidden="false" customHeight="false" outlineLevel="0" collapsed="false">
      <c r="A3" s="12" t="s">
        <v>396</v>
      </c>
    </row>
    <row r="5" customFormat="false" ht="15" hidden="false" customHeight="false" outlineLevel="0" collapsed="false">
      <c r="A5" s="6" t="s">
        <v>397</v>
      </c>
      <c r="B5" s="6" t="s">
        <v>398</v>
      </c>
      <c r="C5" s="6" t="s">
        <v>399</v>
      </c>
      <c r="D5" s="6" t="s">
        <v>301</v>
      </c>
    </row>
    <row r="6" customFormat="false" ht="15" hidden="false" customHeight="false" outlineLevel="0" collapsed="false">
      <c r="A6" s="18" t="s">
        <v>400</v>
      </c>
      <c r="B6" s="7" t="s">
        <v>258</v>
      </c>
      <c r="C6" s="7" t="s">
        <v>401</v>
      </c>
      <c r="D6" s="7" t="s">
        <v>402</v>
      </c>
    </row>
    <row r="7" customFormat="false" ht="15" hidden="false" customHeight="false" outlineLevel="0" collapsed="false">
      <c r="A7" s="18" t="s">
        <v>403</v>
      </c>
      <c r="B7" s="7" t="s">
        <v>404</v>
      </c>
      <c r="C7" s="7" t="s">
        <v>405</v>
      </c>
      <c r="D7" s="7" t="s">
        <v>406</v>
      </c>
    </row>
    <row r="8" customFormat="false" ht="15" hidden="false" customHeight="false" outlineLevel="0" collapsed="false">
      <c r="A8" s="18" t="s">
        <v>407</v>
      </c>
      <c r="B8" s="7" t="s">
        <v>408</v>
      </c>
      <c r="C8" s="7" t="s">
        <v>409</v>
      </c>
      <c r="D8" s="7" t="s">
        <v>410</v>
      </c>
    </row>
    <row r="9" customFormat="false" ht="15" hidden="false" customHeight="false" outlineLevel="0" collapsed="false">
      <c r="A9" s="18" t="s">
        <v>411</v>
      </c>
      <c r="B9" s="7" t="s">
        <v>412</v>
      </c>
      <c r="C9" s="7" t="s">
        <v>413</v>
      </c>
      <c r="D9" s="7" t="s">
        <v>414</v>
      </c>
    </row>
    <row r="12" customFormat="false" ht="15" hidden="false" customHeight="false" outlineLevel="0" collapsed="false">
      <c r="A12" s="6" t="s">
        <v>415</v>
      </c>
      <c r="B12" s="6"/>
      <c r="C12" s="6"/>
      <c r="D12" s="6"/>
    </row>
    <row r="13" customFormat="false" ht="15" hidden="false" customHeight="false" outlineLevel="0" collapsed="false">
      <c r="A13" s="19" t="s">
        <v>416</v>
      </c>
      <c r="B13" s="7" t="s">
        <v>417</v>
      </c>
      <c r="C13" s="7" t="s">
        <v>418</v>
      </c>
      <c r="D13" s="7" t="s">
        <v>419</v>
      </c>
      <c r="E13" s="7" t="s">
        <v>420</v>
      </c>
    </row>
    <row r="14" customFormat="false" ht="15" hidden="false" customHeight="false" outlineLevel="0" collapsed="false">
      <c r="A14" s="19" t="s">
        <v>421</v>
      </c>
      <c r="B14" s="7" t="s">
        <v>417</v>
      </c>
      <c r="C14" s="7" t="s">
        <v>418</v>
      </c>
      <c r="D14" s="7" t="s">
        <v>422</v>
      </c>
      <c r="E14" s="7" t="s">
        <v>423</v>
      </c>
    </row>
    <row r="15" customFormat="false" ht="15" hidden="false" customHeight="false" outlineLevel="0" collapsed="false">
      <c r="A15" s="19" t="s">
        <v>424</v>
      </c>
      <c r="B15" s="7" t="s">
        <v>417</v>
      </c>
      <c r="C15" s="7" t="s">
        <v>418</v>
      </c>
      <c r="D15" s="7" t="s">
        <v>425</v>
      </c>
      <c r="E15" s="7" t="s">
        <v>420</v>
      </c>
    </row>
    <row r="16" customFormat="false" ht="15" hidden="false" customHeight="false" outlineLevel="0" collapsed="false">
      <c r="A16" s="19" t="s">
        <v>426</v>
      </c>
      <c r="B16" s="7" t="s">
        <v>427</v>
      </c>
      <c r="C16" s="7" t="s">
        <v>418</v>
      </c>
      <c r="D16" s="7" t="s">
        <v>422</v>
      </c>
      <c r="E16" s="7" t="s">
        <v>423</v>
      </c>
    </row>
    <row r="17" customFormat="false" ht="15" hidden="false" customHeight="false" outlineLevel="0" collapsed="false">
      <c r="A17" s="19" t="s">
        <v>428</v>
      </c>
      <c r="B17" s="7" t="s">
        <v>427</v>
      </c>
      <c r="C17" s="7" t="s">
        <v>418</v>
      </c>
      <c r="D17" s="7" t="s">
        <v>429</v>
      </c>
      <c r="E17" s="7" t="s">
        <v>423</v>
      </c>
    </row>
    <row r="18" customFormat="false" ht="15" hidden="false" customHeight="false" outlineLevel="0" collapsed="false">
      <c r="A18" s="19" t="s">
        <v>430</v>
      </c>
      <c r="B18" s="7" t="s">
        <v>431</v>
      </c>
      <c r="C18" s="7" t="s">
        <v>418</v>
      </c>
      <c r="D18" s="7" t="s">
        <v>419</v>
      </c>
      <c r="E18" s="7" t="s">
        <v>423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2026-02-04T18:44:17Z</dcterms:created>
  <dc:creator>openpyxl</dc:creator>
  <dc:description/>
  <dc:language>en-US</dc:language>
  <cp:lastModifiedBy/>
  <dcterms:modified xsi:type="dcterms:W3CDTF">2026-02-04T18:44:17Z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